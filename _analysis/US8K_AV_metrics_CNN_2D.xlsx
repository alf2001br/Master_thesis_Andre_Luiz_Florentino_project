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ndre_Florentino\03_particular\04_mestrado-FEI\97_master\_analysis\"/>
    </mc:Choice>
  </mc:AlternateContent>
  <xr:revisionPtr revIDLastSave="0" documentId="13_ncr:1_{B55A8383-237B-48C4-BA20-C1CBEABCF79B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Comparison" sheetId="3" r:id="rId1"/>
    <sheet name="Accuracy_per_fold" sheetId="6" r:id="rId2"/>
    <sheet name="raw_data" sheetId="1" r:id="rId3"/>
  </sheets>
  <definedNames>
    <definedName name="_xlchart.v1.0" hidden="1">raw_data!$C$2:$C$61</definedName>
    <definedName name="_xlchart.v1.1" hidden="1">raw_data!$F$1</definedName>
    <definedName name="_xlchart.v1.2" hidden="1">raw_data!$F$2:$F$61</definedName>
    <definedName name="_xlchart.v1.3" hidden="1">raw_data!$C$2:$C$61</definedName>
    <definedName name="_xlchart.v1.4" hidden="1">raw_data!$F$1</definedName>
    <definedName name="_xlchart.v1.5" hidden="1">raw_data!$F$2:$F$61</definedName>
    <definedName name="tab375aug_norm">raw_data!$B$1:$M$41</definedName>
    <definedName name="tab375aug_norm_PCA">#REF!</definedName>
    <definedName name="tab375aug_std">#REF!</definedName>
    <definedName name="tab375aug_std_PCA">#REF!</definedName>
    <definedName name="tab375wind_norm">#REF!</definedName>
    <definedName name="tab375wind_norm_PCA">#REF!</definedName>
    <definedName name="tab375wind_std">#REF!</definedName>
    <definedName name="tab375wind_std_PCA">#REF!</definedName>
  </definedNames>
  <calcPr calcId="191029"/>
  <pivotCaches>
    <pivotCache cacheId="2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 a="1"/>
  <c r="D9" i="3" s="1"/>
  <c r="C11" i="3"/>
  <c r="C10" i="3"/>
  <c r="C9" i="3"/>
  <c r="C8" i="3"/>
  <c r="C7" i="3"/>
  <c r="C6" i="3"/>
  <c r="D11" i="3" a="1"/>
  <c r="D11" i="3" s="1"/>
  <c r="D10" i="3" a="1"/>
  <c r="D10" i="3" s="1"/>
  <c r="D6" i="3" a="1"/>
  <c r="D6" i="3" s="1"/>
  <c r="D7" i="3" a="1"/>
  <c r="D7" i="3" s="1"/>
  <c r="D8" i="3" a="1"/>
  <c r="D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<sst xmlns="http://schemas.openxmlformats.org/spreadsheetml/2006/main" count="93" uniqueCount="26">
  <si>
    <t>index</t>
  </si>
  <si>
    <t>Model</t>
  </si>
  <si>
    <t>Accuracy(Train)</t>
  </si>
  <si>
    <t>Accuracy(Validation)</t>
  </si>
  <si>
    <t>F1(Train)</t>
  </si>
  <si>
    <t>F1(Validation)</t>
  </si>
  <si>
    <t>Precision(Train)</t>
  </si>
  <si>
    <t>Precision(Validation)</t>
  </si>
  <si>
    <t>Recall(Train)</t>
  </si>
  <si>
    <t>Recall(Validation)</t>
  </si>
  <si>
    <t>Process_time</t>
  </si>
  <si>
    <t>Mean</t>
  </si>
  <si>
    <t>Std</t>
  </si>
  <si>
    <t>Fold</t>
  </si>
  <si>
    <t>Row Labels</t>
  </si>
  <si>
    <t>Column Labels</t>
  </si>
  <si>
    <t>Average of Accuracy(Validation)</t>
  </si>
  <si>
    <t>Standard deviation</t>
  </si>
  <si>
    <t>Grand Total</t>
  </si>
  <si>
    <t>Accuracy</t>
  </si>
  <si>
    <t>Luz_original</t>
  </si>
  <si>
    <t>Su_original</t>
  </si>
  <si>
    <t>Luz_augmented</t>
  </si>
  <si>
    <t>Su_augmented</t>
  </si>
  <si>
    <t>Luz_windowed</t>
  </si>
  <si>
    <t>Su_windowed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</si>
</sst>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auto="1"/>
      </left>
      <right style="thin">
        <color auto="1"/>
      </right>
      <top style="dashed">
        <color theme="0" tint="-0.2499465926084170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8" fillId="0" borderId="0" xfId="0" applyFont="1"/>
    <xf numFmtId="10" fontId="0" fillId="0" borderId="0" xfId="0" applyNumberFormat="1"/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left"/>
    </xf>
    <xf numFmtId="0" fontId="0" fillId="33" borderId="10" xfId="0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left"/>
    </xf>
    <xf numFmtId="0" fontId="18" fillId="33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0" fontId="0" fillId="0" borderId="12" xfId="0" applyNumberFormat="1" applyBorder="1" applyAlignment="1">
      <alignment horizontal="center" vertical="center"/>
    </xf>
    <xf numFmtId="0" fontId="0" fillId="34" borderId="11" xfId="0" applyFill="1" applyBorder="1" applyAlignment="1">
      <alignment horizontal="left"/>
    </xf>
    <xf numFmtId="0" fontId="0" fillId="34" borderId="1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13" xfId="0" applyBorder="1" applyAlignment="1">
      <alignment horizontal="left" vertical="center"/>
    </xf>
    <xf numFmtId="10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US8K_AV (Acuracy validation results of 10 fold</a:t>
            </a:r>
            <a:r>
              <a:rPr lang="en-US" baseline="0"/>
              <a:t> cross validation)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436678203465848E-2"/>
          <c:y val="0.1196925882052354"/>
          <c:w val="0.82322579575512245"/>
          <c:h val="0.770635611920191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Comparison!$C$3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C87-452D-8EBD-A2DEF75370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06C-42B2-ACEB-73B25DF2A82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843-4BCE-82F8-07A441C1E12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DAE-4B38-805A-75683DA8E3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Comparison!$B$6:$B$11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Comparison!$C$6:$C$11</c:f>
              <c:numCache>
                <c:formatCode>0.00%</c:formatCode>
                <c:ptCount val="6"/>
                <c:pt idx="0">
                  <c:v>0.84137538663366329</c:v>
                </c:pt>
                <c:pt idx="1">
                  <c:v>0.82784970344753239</c:v>
                </c:pt>
                <c:pt idx="2">
                  <c:v>0.86286536315074325</c:v>
                </c:pt>
                <c:pt idx="3">
                  <c:v>0.85265372074970824</c:v>
                </c:pt>
                <c:pt idx="4">
                  <c:v>0.76980221302624974</c:v>
                </c:pt>
                <c:pt idx="5">
                  <c:v>0.80028823293293061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B-4B47-A185-081874887165}"/>
            </c:ext>
          </c:extLst>
        </c:ser>
        <c:ser>
          <c:idx val="1"/>
          <c:order val="1"/>
          <c:tx>
            <c:strRef>
              <c:f>Comparison!$D$3</c:f>
              <c:strCache>
                <c:ptCount val="1"/>
                <c:pt idx="0">
                  <c:v>Standard deviation</c:v>
                </c:pt>
              </c:strCache>
            </c:strRef>
          </c:tx>
          <c:spPr>
            <a:pattFill prst="dkUpDiag">
              <a:fgClr>
                <a:schemeClr val="accent1">
                  <a:lumMod val="5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Comparison!$B$6:$B$11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Comparison!$D$6:$D$11</c:f>
              <c:numCache>
                <c:formatCode>0.00%</c:formatCode>
                <c:ptCount val="6"/>
                <c:pt idx="0">
                  <c:v>3.4324122089020186E-2</c:v>
                </c:pt>
                <c:pt idx="1">
                  <c:v>3.601469079383416E-2</c:v>
                </c:pt>
                <c:pt idx="2">
                  <c:v>2.4357115622488264E-2</c:v>
                </c:pt>
                <c:pt idx="3">
                  <c:v>3.8796933046877424E-2</c:v>
                </c:pt>
                <c:pt idx="4">
                  <c:v>4.3271181673136316E-2</c:v>
                </c:pt>
                <c:pt idx="5">
                  <c:v>2.7126764295843944E-2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B-4B47-A185-081874887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0"/>
        <c:overlap val="-12"/>
        <c:axId val="622130936"/>
        <c:axId val="622129856"/>
      </c:barChart>
      <c:catAx>
        <c:axId val="62213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29856"/>
        <c:crosses val="autoZero"/>
        <c:auto val="1"/>
        <c:lblAlgn val="ctr"/>
        <c:lblOffset val="100"/>
        <c:noMultiLvlLbl val="0"/>
      </c:catAx>
      <c:valAx>
        <c:axId val="6221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3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[US8K_AV_metrics_CNN_2D.xlsx]Accuracy_per_fold!PivotTable1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US8K_AV    Accuracy per fold</a:t>
            </a:r>
          </a:p>
        </c:rich>
      </c:tx>
      <c:layout>
        <c:manualLayout>
          <c:xMode val="edge"/>
          <c:yMode val="edge"/>
          <c:x val="0.46033955675823957"/>
          <c:y val="1.5638533966019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86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>
              <a:alpha val="8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>
              <a:alpha val="8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overflow" horzOverflow="overflow" wrap="square" lIns="38100" tIns="19050" rIns="38100" bIns="19050" anchor="b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8918119070368645E-2"/>
          <c:y val="0.10071009764937634"/>
          <c:w val="0.79455128339249892"/>
          <c:h val="0.725652966761287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Accuracy_per_fold!$C$2:$C$3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overflow" horzOverflow="overflow" wrap="square" lIns="38100" tIns="19050" rIns="38100" bIns="19050" anchor="b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Accuracy_per_fold!$B$4:$B$10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Accuracy_per_fold!$C$4:$C$10</c:f>
              <c:numCache>
                <c:formatCode>0.00%</c:formatCode>
                <c:ptCount val="6"/>
                <c:pt idx="0">
                  <c:v>0.86610878661087798</c:v>
                </c:pt>
                <c:pt idx="1">
                  <c:v>0.85983263598326298</c:v>
                </c:pt>
                <c:pt idx="2">
                  <c:v>0.86750348675034805</c:v>
                </c:pt>
                <c:pt idx="3">
                  <c:v>0.88075313807531297</c:v>
                </c:pt>
                <c:pt idx="4">
                  <c:v>0.75732217573221705</c:v>
                </c:pt>
                <c:pt idx="5">
                  <c:v>0.80543933054393302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4-4AAC-A16D-55F0A87D0529}"/>
            </c:ext>
          </c:extLst>
        </c:ser>
        <c:ser>
          <c:idx val="1"/>
          <c:order val="1"/>
          <c:tx>
            <c:strRef>
              <c:f>Accuracy_per_fold!$D$2:$D$3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Accuracy_per_fold!$B$4:$B$10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Accuracy_per_fold!$D$4:$D$10</c:f>
              <c:numCache>
                <c:formatCode>0.00%</c:formatCode>
                <c:ptCount val="6"/>
                <c:pt idx="0">
                  <c:v>0.82268041237113398</c:v>
                </c:pt>
                <c:pt idx="1">
                  <c:v>0.82680412371134004</c:v>
                </c:pt>
                <c:pt idx="2">
                  <c:v>0.88281786941580698</c:v>
                </c:pt>
                <c:pt idx="3">
                  <c:v>0.88865979381443205</c:v>
                </c:pt>
                <c:pt idx="4">
                  <c:v>0.79116347569955803</c:v>
                </c:pt>
                <c:pt idx="5">
                  <c:v>0.77702503681885104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4-4AAC-A16D-55F0A87D0529}"/>
            </c:ext>
          </c:extLst>
        </c:ser>
        <c:ser>
          <c:idx val="2"/>
          <c:order val="2"/>
          <c:tx>
            <c:strRef>
              <c:f>Accuracy_per_fold!$E$2:$E$3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Accuracy_per_fold!$B$4:$B$10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Accuracy_per_fold!$E$4:$E$10</c:f>
              <c:numCache>
                <c:formatCode>0.00%</c:formatCode>
                <c:ptCount val="6"/>
                <c:pt idx="0">
                  <c:v>0.85447761194029803</c:v>
                </c:pt>
                <c:pt idx="1">
                  <c:v>0.86380597014925298</c:v>
                </c:pt>
                <c:pt idx="2">
                  <c:v>0.88215174129353202</c:v>
                </c:pt>
                <c:pt idx="3">
                  <c:v>0.86225124378109397</c:v>
                </c:pt>
                <c:pt idx="4">
                  <c:v>0.81743070362473302</c:v>
                </c:pt>
                <c:pt idx="5">
                  <c:v>0.819029850746268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4-4AAC-A16D-55F0A87D0529}"/>
            </c:ext>
          </c:extLst>
        </c:ser>
        <c:ser>
          <c:idx val="3"/>
          <c:order val="3"/>
          <c:tx>
            <c:strRef>
              <c:f>Accuracy_per_fold!$F$2:$F$3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Accuracy_per_fold!$B$4:$B$10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Accuracy_per_fold!$F$4:$F$10</c:f>
              <c:numCache>
                <c:formatCode>0.00%</c:formatCode>
                <c:ptCount val="6"/>
                <c:pt idx="0">
                  <c:v>0.80300500834724498</c:v>
                </c:pt>
                <c:pt idx="1">
                  <c:v>0.78464106844741199</c:v>
                </c:pt>
                <c:pt idx="2">
                  <c:v>0.83249860879243098</c:v>
                </c:pt>
                <c:pt idx="3">
                  <c:v>0.80467445742904797</c:v>
                </c:pt>
                <c:pt idx="4">
                  <c:v>0.70283806343906496</c:v>
                </c:pt>
                <c:pt idx="5">
                  <c:v>0.77343191032673497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E4-4AAC-A16D-55F0A87D0529}"/>
            </c:ext>
          </c:extLst>
        </c:ser>
        <c:ser>
          <c:idx val="4"/>
          <c:order val="4"/>
          <c:tx>
            <c:strRef>
              <c:f>Accuracy_per_fold!$G$2:$G$3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Accuracy_per_fold!$B$4:$B$10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Accuracy_per_fold!$G$4:$G$10</c:f>
              <c:numCache>
                <c:formatCode>0.00%</c:formatCode>
                <c:ptCount val="6"/>
                <c:pt idx="0">
                  <c:v>0.87334593572778796</c:v>
                </c:pt>
                <c:pt idx="1">
                  <c:v>0.84877126654064206</c:v>
                </c:pt>
                <c:pt idx="2">
                  <c:v>0.838059231253938</c:v>
                </c:pt>
                <c:pt idx="3">
                  <c:v>0.87523629489603005</c:v>
                </c:pt>
                <c:pt idx="4">
                  <c:v>0.78341884958142005</c:v>
                </c:pt>
                <c:pt idx="5">
                  <c:v>0.82338644342425005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E4-4AAC-A16D-55F0A87D0529}"/>
            </c:ext>
          </c:extLst>
        </c:ser>
        <c:ser>
          <c:idx val="5"/>
          <c:order val="5"/>
          <c:tx>
            <c:strRef>
              <c:f>Accuracy_per_fold!$H$2:$H$3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58A0-484A-8245-FC36810163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Accuracy_per_fold!$B$4:$B$10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Accuracy_per_fold!$H$4:$H$10</c:f>
              <c:numCache>
                <c:formatCode>0.00%</c:formatCode>
                <c:ptCount val="6"/>
                <c:pt idx="0">
                  <c:v>0.78231292517006801</c:v>
                </c:pt>
                <c:pt idx="1">
                  <c:v>0.75510204081632604</c:v>
                </c:pt>
                <c:pt idx="2">
                  <c:v>0.83484504913076296</c:v>
                </c:pt>
                <c:pt idx="3">
                  <c:v>0.77815570672713497</c:v>
                </c:pt>
                <c:pt idx="4">
                  <c:v>0.71396177518626502</c:v>
                </c:pt>
                <c:pt idx="5">
                  <c:v>0.78911564625850295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0-484A-8245-FC36810163B8}"/>
            </c:ext>
          </c:extLst>
        </c:ser>
        <c:ser>
          <c:idx val="6"/>
          <c:order val="6"/>
          <c:tx>
            <c:strRef>
              <c:f>Accuracy_per_fold!$I$2:$I$3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Accuracy_per_fold!$B$4:$B$10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Accuracy_per_fold!$I$4:$I$10</c:f>
              <c:numCache>
                <c:formatCode>0.00%</c:formatCode>
                <c:ptCount val="6"/>
                <c:pt idx="0">
                  <c:v>0.88478260869565195</c:v>
                </c:pt>
                <c:pt idx="1">
                  <c:v>0.83913043478260796</c:v>
                </c:pt>
                <c:pt idx="2">
                  <c:v>0.86847826086956503</c:v>
                </c:pt>
                <c:pt idx="3">
                  <c:v>0.87789855072463696</c:v>
                </c:pt>
                <c:pt idx="4">
                  <c:v>0.79720496894409898</c:v>
                </c:pt>
                <c:pt idx="5">
                  <c:v>0.82142857142857095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A0-484A-8245-FC36810163B8}"/>
            </c:ext>
          </c:extLst>
        </c:ser>
        <c:ser>
          <c:idx val="7"/>
          <c:order val="7"/>
          <c:tx>
            <c:strRef>
              <c:f>Accuracy_per_fold!$J$2:$J$3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Accuracy_per_fold!$B$4:$B$10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Accuracy_per_fold!$J$4:$J$10</c:f>
              <c:numCache>
                <c:formatCode>0.00%</c:formatCode>
                <c:ptCount val="6"/>
                <c:pt idx="0">
                  <c:v>0.85591397849462303</c:v>
                </c:pt>
                <c:pt idx="1">
                  <c:v>0.85806451612903201</c:v>
                </c:pt>
                <c:pt idx="2">
                  <c:v>0.87885304659498198</c:v>
                </c:pt>
                <c:pt idx="3">
                  <c:v>0.84587813620071595</c:v>
                </c:pt>
                <c:pt idx="4">
                  <c:v>0.77480798771121295</c:v>
                </c:pt>
                <c:pt idx="5">
                  <c:v>0.79109062980030698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A0-484A-8245-FC36810163B8}"/>
            </c:ext>
          </c:extLst>
        </c:ser>
        <c:ser>
          <c:idx val="8"/>
          <c:order val="8"/>
          <c:tx>
            <c:strRef>
              <c:f>Accuracy_per_fold!$K$2:$K$3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Accuracy_per_fold!$B$4:$B$10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Accuracy_per_fold!$K$4:$K$10</c:f>
              <c:numCache>
                <c:formatCode>0.00%</c:formatCode>
                <c:ptCount val="6"/>
                <c:pt idx="0">
                  <c:v>0.86129753914988805</c:v>
                </c:pt>
                <c:pt idx="1">
                  <c:v>0.83892617449664397</c:v>
                </c:pt>
                <c:pt idx="2">
                  <c:v>0.90156599552572703</c:v>
                </c:pt>
                <c:pt idx="3">
                  <c:v>0.89038031319910504</c:v>
                </c:pt>
                <c:pt idx="4">
                  <c:v>0.83093640140619995</c:v>
                </c:pt>
                <c:pt idx="5">
                  <c:v>0.84499840204538101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A0-484A-8245-FC36810163B8}"/>
            </c:ext>
          </c:extLst>
        </c:ser>
        <c:ser>
          <c:idx val="9"/>
          <c:order val="9"/>
          <c:tx>
            <c:strRef>
              <c:f>Accuracy_per_fold!$L$2:$L$3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Accuracy_per_fold!$B$4:$B$10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Accuracy_per_fold!$L$4:$L$10</c:f>
              <c:numCache>
                <c:formatCode>0.00%</c:formatCode>
                <c:ptCount val="6"/>
                <c:pt idx="0">
                  <c:v>0.80982905982905895</c:v>
                </c:pt>
                <c:pt idx="1">
                  <c:v>0.80341880341880301</c:v>
                </c:pt>
                <c:pt idx="2">
                  <c:v>0.841880341880341</c:v>
                </c:pt>
                <c:pt idx="3">
                  <c:v>0.82264957264957195</c:v>
                </c:pt>
                <c:pt idx="4">
                  <c:v>0.72893772893772801</c:v>
                </c:pt>
                <c:pt idx="5">
                  <c:v>0.75793650793650702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A0-484A-8245-FC3681016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179192"/>
        <c:axId val="643177752"/>
      </c:barChart>
      <c:catAx>
        <c:axId val="643179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</a:t>
                </a:r>
              </a:p>
            </c:rich>
          </c:tx>
          <c:layout>
            <c:manualLayout>
              <c:xMode val="edge"/>
              <c:yMode val="edge"/>
              <c:x val="0.47603972616190915"/>
              <c:y val="0.90943527022146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77752"/>
        <c:crosses val="autoZero"/>
        <c:auto val="1"/>
        <c:lblAlgn val="ctr"/>
        <c:lblOffset val="100"/>
        <c:noMultiLvlLbl val="0"/>
      </c:catAx>
      <c:valAx>
        <c:axId val="64317775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7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469737106527561"/>
          <c:y val="0.21600180416777306"/>
          <c:w val="2.5522041763341066E-2"/>
          <c:h val="0.638994273464790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diamond"/>
          <c:size val="12"/>
          <c:spPr>
            <a:solidFill>
              <a:schemeClr val="tx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960147261740631E-2"/>
          <c:y val="3.3393472163530911E-2"/>
          <c:w val="0.81706930077185669"/>
          <c:h val="0.81907990493696992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12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Accuracy_per_fold!$B$4:$B$9</c:f>
              <c:strCache>
                <c:ptCount val="6"/>
                <c:pt idx="0">
                  <c:v>Luz_original</c:v>
                </c:pt>
                <c:pt idx="1">
                  <c:v>Su_original</c:v>
                </c:pt>
                <c:pt idx="2">
                  <c:v>Luz_augmented</c:v>
                </c:pt>
                <c:pt idx="3">
                  <c:v>Su_augmented</c:v>
                </c:pt>
                <c:pt idx="4">
                  <c:v>Luz_windowed</c:v>
                </c:pt>
                <c:pt idx="5">
                  <c:v>Su_windowed</c:v>
                </c:pt>
              </c:strCache>
            </c:strRef>
          </c:cat>
          <c:val>
            <c:numRef>
              <c:f>Accuracy_per_fold!$M$4:$M$9</c:f>
              <c:numCache>
                <c:formatCode>0.00%</c:formatCode>
                <c:ptCount val="6"/>
                <c:pt idx="0">
                  <c:v>0.84137538663366329</c:v>
                </c:pt>
                <c:pt idx="1">
                  <c:v>0.82784970344753217</c:v>
                </c:pt>
                <c:pt idx="2">
                  <c:v>0.86286536315074325</c:v>
                </c:pt>
                <c:pt idx="3">
                  <c:v>0.85265372074970824</c:v>
                </c:pt>
                <c:pt idx="4">
                  <c:v>0.76980221302624985</c:v>
                </c:pt>
                <c:pt idx="5">
                  <c:v>0.80028823293293061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1-4A26-90A6-001683946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250072"/>
        <c:axId val="808248272"/>
      </c:lineChart>
      <c:catAx>
        <c:axId val="808250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8248272"/>
        <c:crosses val="autoZero"/>
        <c:auto val="1"/>
        <c:lblAlgn val="ctr"/>
        <c:lblOffset val="100"/>
        <c:noMultiLvlLbl val="0"/>
      </c:catAx>
      <c:valAx>
        <c:axId val="808248272"/>
        <c:scaling>
          <c:orientation val="minMax"/>
          <c:max val="0.95000000000000007"/>
          <c:min val="0.5"/>
        </c:scaling>
        <c:delete val="1"/>
        <c:axPos val="l"/>
        <c:numFmt formatCode="0.00%" sourceLinked="1"/>
        <c:majorTickMark val="out"/>
        <c:minorTickMark val="none"/>
        <c:tickLblPos val="nextTo"/>
        <c:crossAx val="80825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33871651026917"/>
          <c:y val="4.5161050181620734E-2"/>
          <c:w val="4.2027524940561632E-2"/>
          <c:h val="5.8429369555666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US8K_AV With CNN 2D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US8K_AV With CNN 2D</a:t>
          </a:r>
        </a:p>
      </cx:txPr>
    </cx:title>
    <cx:plotArea>
      <cx:plotAreaRegion>
        <cx:series layoutId="boxWhisker" uniqueId="{079D9318-32C8-4E73-8792-8B19FDCB5344}" formatIdx="0">
          <cx:tx>
            <cx:txData>
              <cx:f>_xlchart.v1.1</cx:f>
              <cx:v>Accuracy(Validation)</cx:v>
            </cx:txData>
          </cx:tx>
          <cx:spPr>
            <a:solidFill>
              <a:schemeClr val="accent1">
                <a:alpha val="69000"/>
              </a:schemeClr>
            </a:solidFill>
            <a:ln>
              <a:solidFill>
                <a:schemeClr val="accent1"/>
              </a:solidFill>
            </a:ln>
          </cx:spPr>
          <cx:dataLabels/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="1">
                <a:solidFill>
                  <a:schemeClr val="bg1"/>
                </a:solidFill>
              </a:defRPr>
            </a:pPr>
            <a:endParaRPr lang="en-US" sz="1400" b="1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  <cx:axis id="1">
        <cx:valScaling max="0.95000000000000007" min="0.60000000000000009"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50"/>
          </a:pPr>
          <a:endParaRPr lang="en-US" sz="105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11</xdr:row>
      <xdr:rowOff>169546</xdr:rowOff>
    </xdr:from>
    <xdr:to>
      <xdr:col>10</xdr:col>
      <xdr:colOff>885825</xdr:colOff>
      <xdr:row>36</xdr:row>
      <xdr:rowOff>180976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F4724D-A7EB-D123-75F4-CD088C6CF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27621</xdr:rowOff>
    </xdr:from>
    <xdr:to>
      <xdr:col>20</xdr:col>
      <xdr:colOff>342900</xdr:colOff>
      <xdr:row>38</xdr:row>
      <xdr:rowOff>171861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DEF1F-7209-8821-E738-EECFC65A5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302893</xdr:colOff>
      <xdr:row>17</xdr:row>
      <xdr:rowOff>132262</xdr:rowOff>
    </xdr:from>
    <xdr:to>
      <xdr:col>20</xdr:col>
      <xdr:colOff>219075</xdr:colOff>
      <xdr:row>37</xdr:row>
      <xdr:rowOff>174150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D8707F-3932-498C-B827-0BEDB8ACB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377190</xdr:colOff>
      <xdr:row>3</xdr:row>
      <xdr:rowOff>15240</xdr:rowOff>
    </xdr:from>
    <xdr:to>
      <xdr:col>16</xdr:col>
      <xdr:colOff>405765</xdr:colOff>
      <xdr:row>8</xdr:row>
      <xdr:rowOff>5715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6CF52CCA-8710-5EBF-74BD-AE8F10ED4E90}"/>
            </a:ext>
          </a:extLst>
        </xdr:cNvPr>
        <xdr:cNvSpPr/>
      </xdr:nvSpPr>
      <xdr:spPr>
        <a:xfrm>
          <a:off x="11978640" y="586740"/>
          <a:ext cx="1857375" cy="9429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</xdr:row>
      <xdr:rowOff>171450</xdr:rowOff>
    </xdr:from>
    <xdr:to>
      <xdr:col>13</xdr:col>
      <xdr:colOff>0</xdr:colOff>
      <xdr:row>6</xdr:row>
      <xdr:rowOff>17145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698C695-83BB-707B-9F74-9F1DCFA0C05D}"/>
            </a:ext>
          </a:extLst>
        </xdr:cNvPr>
        <xdr:cNvSpPr/>
      </xdr:nvSpPr>
      <xdr:spPr>
        <a:xfrm>
          <a:off x="180975" y="933450"/>
          <a:ext cx="11420475" cy="2266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205759</xdr:colOff>
      <xdr:row>64</xdr:row>
      <xdr:rowOff>87918</xdr:rowOff>
    </xdr:from>
    <xdr:to>
      <xdr:col>12</xdr:col>
      <xdr:colOff>550727</xdr:colOff>
      <xdr:row>89</xdr:row>
      <xdr:rowOff>101196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54CCE9E-4166-F10D-73F7-36C3A7062B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234" y="12260868"/>
              <a:ext cx="13765693" cy="4775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orentino, Andre Luiz" refreshedDate="45469.355462731481" createdVersion="8" refreshedVersion="8" minRefreshableVersion="3" recordCount="60" xr:uid="{C079ED32-1607-4F7D-AF54-0BF3424D0637}">
  <cacheSource type="worksheet">
    <worksheetSource ref="B1:M61" sheet="raw_data"/>
  </cacheSource>
  <cacheFields count="12">
    <cacheField name="index" numFmtId="0">
      <sharedItems containsSemiMixedTypes="0" containsString="0" containsNumber="1" containsInteger="1" minValue="0" maxValue="19"/>
    </cacheField>
    <cacheField name="Model" numFmtId="0">
      <sharedItems count="12">
        <s v="Luz_original"/>
        <s v="Su_original"/>
        <s v="Luz_augmented"/>
        <s v="Su_augmented"/>
        <s v="Luz_windowed"/>
        <s v="Su_windowed"/>
        <s v="Log-mel 1024 neurons" u="1"/>
        <s v="Log-mel 3 channels 100 neurons" u="1"/>
        <s v="Log-mel 3 channels 200k parm." u="1"/>
        <s v="Log-mel 3 channels 1500k parm." u="1"/>
        <s v="Log-mel 3 LSTC 185k parm." u="1"/>
        <s v="Log-mel 3 LSTC 700k parm." u="1"/>
      </sharedItems>
    </cacheField>
    <cacheField name="Fold" numFmtId="0">
      <sharedItems containsSemiMixedTypes="0" containsString="0" containsNumber="1" containsInteger="1" minValue="1" maxValue="10" count="10">
        <n v="8"/>
        <n v="4"/>
        <n v="10"/>
        <n v="2"/>
        <n v="3"/>
        <n v="7"/>
        <n v="9"/>
        <n v="1"/>
        <n v="5"/>
        <n v="6"/>
      </sharedItems>
    </cacheField>
    <cacheField name="Accuracy(Train)" numFmtId="10">
      <sharedItems containsSemiMixedTypes="0" containsString="0" containsNumber="1" minValue="0.98230402956435203" maxValue="1"/>
    </cacheField>
    <cacheField name="Accuracy(Validation)" numFmtId="10">
      <sharedItems containsSemiMixedTypes="0" containsString="0" containsNumber="1" minValue="0.70283806343906496" maxValue="0.90156599552572703"/>
    </cacheField>
    <cacheField name="F1(Train)" numFmtId="10">
      <sharedItems containsSemiMixedTypes="0" containsString="0" containsNumber="1" minValue="0.98233665265675496" maxValue="1"/>
    </cacheField>
    <cacheField name="F1(Validation)" numFmtId="10">
      <sharedItems containsSemiMixedTypes="0" containsString="0" containsNumber="1" minValue="0.70390495181556101" maxValue="0.90087213987403203"/>
    </cacheField>
    <cacheField name="Precision(Train)" numFmtId="10">
      <sharedItems containsSemiMixedTypes="0" containsString="0" containsNumber="1" minValue="0.98314148315037198" maxValue="1"/>
    </cacheField>
    <cacheField name="Precision(Validation)" numFmtId="10">
      <sharedItems containsSemiMixedTypes="0" containsString="0" containsNumber="1" minValue="0.724948959499915" maxValue="0.901645432757189"/>
    </cacheField>
    <cacheField name="Recall(Train)" numFmtId="10">
      <sharedItems containsSemiMixedTypes="0" containsString="0" containsNumber="1" minValue="0.98230402956435203" maxValue="1"/>
    </cacheField>
    <cacheField name="Recall(Validation)" numFmtId="10">
      <sharedItems containsSemiMixedTypes="0" containsString="0" containsNumber="1" minValue="0.70283806343906496" maxValue="0.90156599552572703"/>
    </cacheField>
    <cacheField name="Process_time" numFmtId="0">
      <sharedItems containsSemiMixedTypes="0" containsString="0" containsNumber="1" minValue="93.75" maxValue="2390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7"/>
    <x v="0"/>
    <x v="0"/>
    <n v="0.99527363184079598"/>
    <n v="0.78231292517006801"/>
    <n v="0.99527231949672301"/>
    <n v="0.780172465792206"/>
    <n v="0.99530801982569705"/>
    <n v="0.80927108581057094"/>
    <n v="0.99527363184079598"/>
    <n v="0.78231292517006801"/>
    <n v="500"/>
  </r>
  <r>
    <n v="9"/>
    <x v="0"/>
    <x v="1"/>
    <n v="0.99974213512119603"/>
    <n v="0.80300500834724498"/>
    <n v="0.99974213502293896"/>
    <n v="0.80701728444127596"/>
    <n v="0.99974245308035603"/>
    <n v="0.82499847833094697"/>
    <n v="0.99974213512119603"/>
    <n v="0.80300500834724498"/>
    <n v="578125"/>
  </r>
  <r>
    <n v="3"/>
    <x v="0"/>
    <x v="2"/>
    <n v="0.99899899899899902"/>
    <n v="0.80982905982905895"/>
    <n v="0.99899905511121301"/>
    <n v="0.80985531073235895"/>
    <n v="0.99900232294796798"/>
    <n v="0.81895157419632902"/>
    <n v="0.99899899899899902"/>
    <n v="0.80982905982905895"/>
    <n v="625"/>
  </r>
  <r>
    <n v="5"/>
    <x v="0"/>
    <x v="3"/>
    <n v="1"/>
    <n v="0.82268041237113398"/>
    <n v="1"/>
    <n v="0.81515877275968396"/>
    <n v="1"/>
    <n v="0.82606151154292795"/>
    <n v="1"/>
    <n v="0.82268041237113398"/>
    <n v="625"/>
  </r>
  <r>
    <n v="7"/>
    <x v="0"/>
    <x v="4"/>
    <n v="0.99084900864260295"/>
    <n v="0.85447761194029803"/>
    <n v="0.99083392000403203"/>
    <n v="0.856241921033845"/>
    <n v="0.99092955213853595"/>
    <n v="0.86250034722013802"/>
    <n v="0.99084900864260295"/>
    <n v="0.85447761194029803"/>
    <n v="750"/>
  </r>
  <r>
    <n v="15"/>
    <x v="0"/>
    <x v="5"/>
    <n v="0.99649824912456197"/>
    <n v="0.85591397849462303"/>
    <n v="0.99650199993586197"/>
    <n v="0.85646499467602399"/>
    <n v="0.99653093279906602"/>
    <n v="0.86087234665658796"/>
    <n v="0.99649824912456197"/>
    <n v="0.85591397849462303"/>
    <n v="375"/>
  </r>
  <r>
    <n v="19"/>
    <x v="0"/>
    <x v="6"/>
    <n v="0.98928749377179803"/>
    <n v="0.86129753914988805"/>
    <n v="0.98938352776977301"/>
    <n v="0.86021661220235401"/>
    <n v="0.98980243262203604"/>
    <n v="0.866952942977818"/>
    <n v="0.98928749377179803"/>
    <n v="0.86129753914988805"/>
    <n v="359375"/>
  </r>
  <r>
    <n v="1"/>
    <x v="0"/>
    <x v="7"/>
    <n v="1"/>
    <n v="0.86610878661087798"/>
    <n v="1"/>
    <n v="0.86577921692515003"/>
    <n v="1"/>
    <n v="0.868270013673067"/>
    <n v="1"/>
    <n v="0.86610878661087798"/>
    <n v="390625"/>
  </r>
  <r>
    <n v="11"/>
    <x v="0"/>
    <x v="8"/>
    <n v="0.99974625729510203"/>
    <n v="0.87334593572778796"/>
    <n v="0.99974625729510203"/>
    <n v="0.874009641692582"/>
    <n v="0.99974657017143398"/>
    <n v="0.88057230130773301"/>
    <n v="0.99974625729510203"/>
    <n v="0.87334593572778796"/>
    <n v="500"/>
  </r>
  <r>
    <n v="13"/>
    <x v="0"/>
    <x v="9"/>
    <n v="0.99675243567324501"/>
    <n v="0.88478260869565195"/>
    <n v="0.99675597950550099"/>
    <n v="0.88186757875542499"/>
    <n v="0.99679506037299404"/>
    <n v="0.88662003127494804"/>
    <n v="0.99675243567324501"/>
    <n v="0.88478260869565195"/>
    <n v="343.75"/>
  </r>
  <r>
    <n v="16"/>
    <x v="1"/>
    <x v="0"/>
    <n v="0.99875621890547195"/>
    <n v="0.75510204081632604"/>
    <n v="0.99875750047374401"/>
    <n v="0.75571103516448401"/>
    <n v="0.99876530506490402"/>
    <n v="0.78783698184338702"/>
    <n v="0.99875621890547195"/>
    <n v="0.75510204081632604"/>
    <n v="296875"/>
  </r>
  <r>
    <n v="8"/>
    <x v="1"/>
    <x v="1"/>
    <n v="0.98788035069623503"/>
    <n v="0.78464106844741199"/>
    <n v="0.98790002094445795"/>
    <n v="0.78936099414841299"/>
    <n v="0.98808552700893204"/>
    <n v="0.81020129333983604"/>
    <n v="0.98788035069623503"/>
    <n v="0.78464106844741199"/>
    <n v="234375"/>
  </r>
  <r>
    <n v="2"/>
    <x v="1"/>
    <x v="2"/>
    <n v="0.98423423423423395"/>
    <n v="0.80341880341880301"/>
    <n v="0.98426975813280904"/>
    <n v="0.79696144012745995"/>
    <n v="0.98483401110338598"/>
    <n v="0.82220694496056801"/>
    <n v="0.98423423423423395"/>
    <n v="0.80341880341880301"/>
    <n v="250"/>
  </r>
  <r>
    <n v="4"/>
    <x v="1"/>
    <x v="3"/>
    <n v="0.99623115577889398"/>
    <n v="0.82680412371134004"/>
    <n v="0.99622605477803805"/>
    <n v="0.82105809103493099"/>
    <n v="0.99625898873409702"/>
    <n v="0.84472705937930903"/>
    <n v="0.99623115577889398"/>
    <n v="0.82680412371134004"/>
    <n v="312.5"/>
  </r>
  <r>
    <n v="18"/>
    <x v="1"/>
    <x v="6"/>
    <n v="0.99053313403089105"/>
    <n v="0.83892617449664397"/>
    <n v="0.99052572263008598"/>
    <n v="0.83779205450868499"/>
    <n v="0.99080861775167095"/>
    <n v="0.84484318828451299"/>
    <n v="0.99053313403089105"/>
    <n v="0.83892617449664397"/>
    <n v="93.75"/>
  </r>
  <r>
    <n v="12"/>
    <x v="1"/>
    <x v="9"/>
    <n v="0.998001498875843"/>
    <n v="0.83913043478260796"/>
    <n v="0.99800268062489395"/>
    <n v="0.83581237151876897"/>
    <n v="0.99801422561001596"/>
    <n v="0.841077519859881"/>
    <n v="0.998001498875843"/>
    <n v="0.83913043478260796"/>
    <n v="93.75"/>
  </r>
  <r>
    <n v="10"/>
    <x v="1"/>
    <x v="8"/>
    <n v="0.99061151991880203"/>
    <n v="0.84877126654064206"/>
    <n v="0.99062732193829395"/>
    <n v="0.85270054227874703"/>
    <n v="0.99078116718574205"/>
    <n v="0.87060822814838901"/>
    <n v="0.99061151991880203"/>
    <n v="0.84877126654064206"/>
    <n v="234375"/>
  </r>
  <r>
    <n v="14"/>
    <x v="1"/>
    <x v="5"/>
    <n v="0.99974987493746803"/>
    <n v="0.85806451612903201"/>
    <n v="0.99974993932436296"/>
    <n v="0.85932775101753001"/>
    <n v="0.99975044083127496"/>
    <n v="0.86432533179608995"/>
    <n v="0.99974987493746803"/>
    <n v="0.85806451612903201"/>
    <n v="93.75"/>
  </r>
  <r>
    <n v="0"/>
    <x v="1"/>
    <x v="7"/>
    <n v="0.99498369701529898"/>
    <n v="0.85983263598326298"/>
    <n v="0.99497774367226699"/>
    <n v="0.86024427100637002"/>
    <n v="0.99501605250910397"/>
    <n v="0.86387773622496"/>
    <n v="0.99498369701529898"/>
    <n v="0.85983263598326298"/>
    <n v="343.75"/>
  </r>
  <r>
    <n v="6"/>
    <x v="1"/>
    <x v="4"/>
    <n v="0.99822064056939497"/>
    <n v="0.86380597014925298"/>
    <n v="0.99822137891029605"/>
    <n v="0.86626099201164197"/>
    <n v="0.99823267664423398"/>
    <n v="0.88028737342531205"/>
    <n v="0.99822064056939497"/>
    <n v="0.86380597014925298"/>
    <n v="203125"/>
  </r>
  <r>
    <n v="9"/>
    <x v="2"/>
    <x v="1"/>
    <n v="0.99978511260099701"/>
    <n v="0.83249860879243098"/>
    <n v="0.99978508275156897"/>
    <n v="0.83263946984106996"/>
    <n v="0.99978520459606901"/>
    <n v="0.83972114913915397"/>
    <n v="0.99978511260099701"/>
    <n v="0.83249860879243098"/>
    <n v="2390625"/>
  </r>
  <r>
    <n v="17"/>
    <x v="2"/>
    <x v="0"/>
    <n v="1"/>
    <n v="0.83484504913076296"/>
    <n v="1"/>
    <n v="0.83486014157419397"/>
    <n v="1"/>
    <n v="0.844911172386828"/>
    <n v="1"/>
    <n v="0.83484504913076296"/>
    <n v="1859375"/>
  </r>
  <r>
    <n v="11"/>
    <x v="2"/>
    <x v="8"/>
    <n v="0.999450224139389"/>
    <n v="0.838059231253938"/>
    <n v="0.99945028929303203"/>
    <n v="0.839592999010912"/>
    <n v="0.99945094864501804"/>
    <n v="0.85663973757470502"/>
    <n v="0.999450224139389"/>
    <n v="0.838059231253938"/>
    <n v="2140625"/>
  </r>
  <r>
    <n v="3"/>
    <x v="2"/>
    <x v="2"/>
    <n v="0.99966633299966601"/>
    <n v="0.841880341880341"/>
    <n v="0.999666333386659"/>
    <n v="0.83797689692946498"/>
    <n v="0.99966657538334902"/>
    <n v="0.84803619560176602"/>
    <n v="0.99966633299966601"/>
    <n v="0.841880341880341"/>
    <n v="2000"/>
  </r>
  <r>
    <n v="1"/>
    <x v="2"/>
    <x v="7"/>
    <n v="1"/>
    <n v="0.86750348675034805"/>
    <n v="1"/>
    <n v="0.867713679523889"/>
    <n v="1"/>
    <n v="0.87222535497689102"/>
    <n v="1"/>
    <n v="0.86750348675034805"/>
    <n v="1750"/>
  </r>
  <r>
    <n v="13"/>
    <x v="2"/>
    <x v="9"/>
    <n v="0.99983346517340399"/>
    <n v="0.86847826086956503"/>
    <n v="0.99983346522727801"/>
    <n v="0.86853734490810997"/>
    <n v="0.99983350010065097"/>
    <n v="0.87100290042772099"/>
    <n v="0.99983346517340399"/>
    <n v="0.86847826086956503"/>
    <n v="2062.5"/>
  </r>
  <r>
    <n v="15"/>
    <x v="2"/>
    <x v="5"/>
    <n v="0.99983327775925301"/>
    <n v="0.87885304659498198"/>
    <n v="0.99983329091572704"/>
    <n v="0.87883319319041298"/>
    <n v="0.99983338898701901"/>
    <n v="0.880783263648246"/>
    <n v="0.99983327775925301"/>
    <n v="0.87885304659498198"/>
    <n v="1703125"/>
  </r>
  <r>
    <n v="7"/>
    <x v="2"/>
    <x v="4"/>
    <n v="1"/>
    <n v="0.88215174129353202"/>
    <n v="1"/>
    <n v="0.88287198640113096"/>
    <n v="1"/>
    <n v="0.88634226288335904"/>
    <n v="1"/>
    <n v="0.88215174129353202"/>
    <n v="2125"/>
  </r>
  <r>
    <n v="5"/>
    <x v="2"/>
    <x v="3"/>
    <n v="0.99991626193267402"/>
    <n v="0.88281786941580698"/>
    <n v="0.99991627587815002"/>
    <n v="0.88192360720927498"/>
    <n v="0.99991634198818802"/>
    <n v="0.88466646314149"/>
    <n v="0.99991626193267402"/>
    <n v="0.88281786941580698"/>
    <n v="2203125"/>
  </r>
  <r>
    <n v="19"/>
    <x v="2"/>
    <x v="6"/>
    <n v="0.99941882186890196"/>
    <n v="0.90156599552572703"/>
    <n v="0.99941883435043499"/>
    <n v="0.90087213987403203"/>
    <n v="0.99941982823729203"/>
    <n v="0.901645432757189"/>
    <n v="0.99941882186890196"/>
    <n v="0.90156599552572703"/>
    <n v="1515625"/>
  </r>
  <r>
    <n v="16"/>
    <x v="3"/>
    <x v="0"/>
    <n v="0.99987562704697097"/>
    <n v="0.77815570672713497"/>
    <n v="0.99987562118467099"/>
    <n v="0.78046653123938703"/>
    <n v="0.999875680383425"/>
    <n v="0.81400863059335704"/>
    <n v="0.99987562704697097"/>
    <n v="0.77815570672713497"/>
    <n v="1562.5"/>
  </r>
  <r>
    <n v="8"/>
    <x v="3"/>
    <x v="1"/>
    <n v="0.99987106756059796"/>
    <n v="0.80467445742904797"/>
    <n v="0.99987106610431897"/>
    <n v="0.80843746260292804"/>
    <n v="0.99987114132254595"/>
    <n v="0.81966958877987794"/>
    <n v="0.99987106756059796"/>
    <n v="0.80467445742904797"/>
    <n v="1140625"/>
  </r>
  <r>
    <n v="2"/>
    <x v="3"/>
    <x v="2"/>
    <n v="0.99987487487487403"/>
    <n v="0.82264957264957195"/>
    <n v="0.99987489007334296"/>
    <n v="0.81666079368828703"/>
    <n v="0.99987495279804095"/>
    <n v="0.83194074824101005"/>
    <n v="0.99987487487487403"/>
    <n v="0.82264957264957195"/>
    <n v="1171875"/>
  </r>
  <r>
    <n v="14"/>
    <x v="3"/>
    <x v="5"/>
    <n v="0.99991663887962601"/>
    <n v="0.84587813620071595"/>
    <n v="0.99991665203962898"/>
    <n v="0.84725102687185805"/>
    <n v="0.99991671581651598"/>
    <n v="0.85123648339066305"/>
    <n v="0.99991663887962601"/>
    <n v="0.84587813620071595"/>
    <n v="703125"/>
  </r>
  <r>
    <n v="6"/>
    <x v="3"/>
    <x v="4"/>
    <n v="0.99978820738732599"/>
    <n v="0.86225124378109397"/>
    <n v="0.99978823731050304"/>
    <n v="0.86300792271358695"/>
    <n v="0.99978832253567695"/>
    <n v="0.869292380281808"/>
    <n v="0.99978820738732599"/>
    <n v="0.86225124378109397"/>
    <n v="1109375"/>
  </r>
  <r>
    <n v="10"/>
    <x v="3"/>
    <x v="8"/>
    <n v="0.99974625729510203"/>
    <n v="0.87523629489603005"/>
    <n v="0.99974632127298202"/>
    <n v="0.87585107533691398"/>
    <n v="0.99974654379023398"/>
    <n v="0.88410550405423005"/>
    <n v="0.99974625729510203"/>
    <n v="0.87523629489603005"/>
    <n v="765625"/>
  </r>
  <r>
    <n v="12"/>
    <x v="3"/>
    <x v="9"/>
    <n v="0.99983346517340399"/>
    <n v="0.87789855072463696"/>
    <n v="0.99983346725549105"/>
    <n v="0.878103887320135"/>
    <n v="0.99983355058865198"/>
    <n v="0.87998870684048902"/>
    <n v="0.99983346517340399"/>
    <n v="0.87789855072463696"/>
    <n v="781.25"/>
  </r>
  <r>
    <n v="0"/>
    <x v="3"/>
    <x v="7"/>
    <n v="0.99991639495025497"/>
    <n v="0.88075313807531297"/>
    <n v="0.99991639652710695"/>
    <n v="0.88141507873594604"/>
    <n v="0.999916419040488"/>
    <n v="0.88367410211559705"/>
    <n v="0.99991639495025497"/>
    <n v="0.88075313807531297"/>
    <n v="718.75"/>
  </r>
  <r>
    <n v="4"/>
    <x v="3"/>
    <x v="3"/>
    <n v="0.99983252386534904"/>
    <n v="0.88865979381443205"/>
    <n v="0.99983253777022896"/>
    <n v="0.88788615098095502"/>
    <n v="0.99983263821865798"/>
    <n v="0.89557822554877897"/>
    <n v="0.99983252386534904"/>
    <n v="0.88865979381443205"/>
    <n v="750"/>
  </r>
  <r>
    <n v="18"/>
    <x v="3"/>
    <x v="6"/>
    <n v="0.99983394910540002"/>
    <n v="0.89038031319910504"/>
    <n v="0.99983395321801405"/>
    <n v="0.88969858240875099"/>
    <n v="0.99983404409610699"/>
    <n v="0.89200625580749204"/>
    <n v="0.99983394910540002"/>
    <n v="0.89038031319910504"/>
    <n v="765625"/>
  </r>
  <r>
    <n v="9"/>
    <x v="4"/>
    <x v="1"/>
    <n v="0.99996316216017"/>
    <n v="0.70283806343906496"/>
    <n v="0.99996316218578096"/>
    <n v="0.70390495181556101"/>
    <n v="0.99996316875956903"/>
    <n v="0.74408455697902698"/>
    <n v="0.99996316216017"/>
    <n v="0.70283806343906496"/>
    <n v="1062.5"/>
  </r>
  <r>
    <n v="17"/>
    <x v="4"/>
    <x v="0"/>
    <n v="0.999822329614099"/>
    <n v="0.71396177518626502"/>
    <n v="0.999822337930386"/>
    <n v="0.70456084738719804"/>
    <n v="0.99982242496425699"/>
    <n v="0.724948959499915"/>
    <n v="0.999822329614099"/>
    <n v="0.71396177518626502"/>
    <n v="531.25"/>
  </r>
  <r>
    <n v="3"/>
    <x v="4"/>
    <x v="2"/>
    <n v="1"/>
    <n v="0.72893772893772801"/>
    <n v="1"/>
    <n v="0.72341687288886303"/>
    <n v="1"/>
    <n v="0.74249871712682403"/>
    <n v="1"/>
    <n v="0.72893772893772801"/>
    <n v="531.25"/>
  </r>
  <r>
    <n v="1"/>
    <x v="4"/>
    <x v="7"/>
    <n v="0.99953420043713403"/>
    <n v="0.75732217573221705"/>
    <n v="0.99953416401796003"/>
    <n v="0.75284810829147097"/>
    <n v="0.999534396377731"/>
    <n v="0.77656473756735001"/>
    <n v="0.99953420043713403"/>
    <n v="0.75732217573221705"/>
    <n v="703125"/>
  </r>
  <r>
    <n v="15"/>
    <x v="4"/>
    <x v="5"/>
    <n v="1"/>
    <n v="0.77480798771121295"/>
    <n v="1"/>
    <n v="0.775095426364655"/>
    <n v="1"/>
    <n v="0.78332890344444805"/>
    <n v="1"/>
    <n v="0.77480798771121295"/>
    <n v="421875"/>
  </r>
  <r>
    <n v="11"/>
    <x v="4"/>
    <x v="8"/>
    <n v="0.99905752709609597"/>
    <n v="0.78341884958142005"/>
    <n v="0.99905793781990104"/>
    <n v="0.78742938649930805"/>
    <n v="0.99905953362514899"/>
    <n v="0.81045322154282096"/>
    <n v="0.99905752709609597"/>
    <n v="0.78341884958142005"/>
    <n v="703125"/>
  </r>
  <r>
    <n v="5"/>
    <x v="4"/>
    <x v="3"/>
    <n v="1"/>
    <n v="0.79116347569955803"/>
    <n v="1"/>
    <n v="0.79118015892564497"/>
    <n v="1"/>
    <n v="0.79842901070835004"/>
    <n v="1"/>
    <n v="0.79116347569955803"/>
    <n v="781.25"/>
  </r>
  <r>
    <n v="13"/>
    <x v="4"/>
    <x v="9"/>
    <n v="0.99932196131610795"/>
    <n v="0.79720496894409898"/>
    <n v="0.99932208954483004"/>
    <n v="0.797941283763691"/>
    <n v="0.99932288816769299"/>
    <n v="0.8017366857114"/>
    <n v="0.99932196131610795"/>
    <n v="0.79720496894409898"/>
    <n v="609375"/>
  </r>
  <r>
    <n v="7"/>
    <x v="4"/>
    <x v="4"/>
    <n v="0.99989107940311495"/>
    <n v="0.81743070362473302"/>
    <n v="0.99989107620088602"/>
    <n v="0.81661665381186999"/>
    <n v="0.99989107940085598"/>
    <n v="0.83441536606752098"/>
    <n v="0.99989107940311495"/>
    <n v="0.81743070362473302"/>
    <n v="578125"/>
  </r>
  <r>
    <n v="19"/>
    <x v="4"/>
    <x v="6"/>
    <n v="0.99971534301167098"/>
    <n v="0.83093640140619995"/>
    <n v="0.99971539024939804"/>
    <n v="0.83048992531102195"/>
    <n v="0.99971576388598304"/>
    <n v="0.83252619437893605"/>
    <n v="0.99971534301167098"/>
    <n v="0.83093640140619995"/>
    <n v="390625"/>
  </r>
  <r>
    <n v="2"/>
    <x v="5"/>
    <x v="2"/>
    <n v="0.98523523523523504"/>
    <n v="0.75793650793650702"/>
    <n v="0.98525188275817199"/>
    <n v="0.75567362766402502"/>
    <n v="0.98556131547833503"/>
    <n v="0.78313630725697403"/>
    <n v="0.98523523523523504"/>
    <n v="0.75793650793650702"/>
    <n v="390625"/>
  </r>
  <r>
    <n v="8"/>
    <x v="5"/>
    <x v="1"/>
    <n v="0.98434391807264399"/>
    <n v="0.77343191032673497"/>
    <n v="0.98433225826553505"/>
    <n v="0.77715937253066403"/>
    <n v="0.98453421349263803"/>
    <n v="0.79423108835213296"/>
    <n v="0.98434391807264399"/>
    <n v="0.77343191032673497"/>
    <n v="562.5"/>
  </r>
  <r>
    <n v="4"/>
    <x v="5"/>
    <x v="3"/>
    <n v="0.98743898937697305"/>
    <n v="0.77702503681885104"/>
    <n v="0.98746399213575797"/>
    <n v="0.77352288658221002"/>
    <n v="0.98776437229284098"/>
    <n v="0.79614065878158302"/>
    <n v="0.98743898937697305"/>
    <n v="0.77702503681885104"/>
    <n v="265625"/>
  </r>
  <r>
    <n v="16"/>
    <x v="5"/>
    <x v="0"/>
    <n v="0.98230402956435203"/>
    <n v="0.78911564625850295"/>
    <n v="0.98233665265675496"/>
    <n v="0.78871303633193501"/>
    <n v="0.98314148315037198"/>
    <n v="0.79265735157718298"/>
    <n v="0.98230402956435203"/>
    <n v="0.78911564625850295"/>
    <n v="296875"/>
  </r>
  <r>
    <n v="14"/>
    <x v="5"/>
    <x v="5"/>
    <n v="0.98256520185780605"/>
    <n v="0.79109062980030698"/>
    <n v="0.98263788438760902"/>
    <n v="0.79098771977173599"/>
    <n v="0.98343372406673102"/>
    <n v="0.80200810663434396"/>
    <n v="0.98256520185780605"/>
    <n v="0.79109062980030698"/>
    <n v="562.5"/>
  </r>
  <r>
    <n v="0"/>
    <x v="5"/>
    <x v="7"/>
    <n v="0.98914328711168398"/>
    <n v="0.80543933054393302"/>
    <n v="0.98913091619625804"/>
    <n v="0.80663771788785699"/>
    <n v="0.98926205032866699"/>
    <n v="0.81291569820629705"/>
    <n v="0.98914328711168398"/>
    <n v="0.80543933054393302"/>
    <n v="296875"/>
  </r>
  <r>
    <n v="6"/>
    <x v="5"/>
    <x v="4"/>
    <n v="0.98613077732999299"/>
    <n v="0.819029850746268"/>
    <n v="0.98611264092157802"/>
    <n v="0.82003002513436296"/>
    <n v="0.98640978021848202"/>
    <n v="0.82799000070904205"/>
    <n v="0.98613077732999299"/>
    <n v="0.819029850746268"/>
    <n v="578125"/>
  </r>
  <r>
    <n v="12"/>
    <x v="5"/>
    <x v="9"/>
    <n v="0.98836628363428702"/>
    <n v="0.82142857142857095"/>
    <n v="0.98837433926687501"/>
    <n v="0.821494512415197"/>
    <n v="0.988615889820042"/>
    <n v="0.82672657479370903"/>
    <n v="0.98836628363428702"/>
    <n v="0.82142857142857095"/>
    <n v="609375"/>
  </r>
  <r>
    <n v="10"/>
    <x v="5"/>
    <x v="8"/>
    <n v="0.98481168666400798"/>
    <n v="0.82338644342425005"/>
    <n v="0.98483633032787898"/>
    <n v="0.82398410997927096"/>
    <n v="0.98506762239471402"/>
    <n v="0.83540926996484"/>
    <n v="0.98481168666400798"/>
    <n v="0.82338644342425005"/>
    <n v="187.5"/>
  </r>
  <r>
    <n v="18"/>
    <x v="5"/>
    <x v="6"/>
    <n v="0.98790207799601404"/>
    <n v="0.84499840204538101"/>
    <n v="0.98791401899243902"/>
    <n v="0.84384007787766002"/>
    <n v="0.98823268716006496"/>
    <n v="0.84736327086278396"/>
    <n v="0.98790207799601404"/>
    <n v="0.84499840204538101"/>
    <n v="18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F5F7F-E2E9-48F3-88DE-BD336F96AE4D}" name="PivotTable1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B2:M10" firstHeaderRow="1" firstDataRow="2" firstDataCol="1"/>
  <pivotFields count="12">
    <pivotField showAll="0"/>
    <pivotField axis="axisRow" showAll="0">
      <items count="13">
        <item m="1" x="6"/>
        <item m="1" x="7"/>
        <item m="1" x="9"/>
        <item m="1" x="8"/>
        <item m="1" x="10"/>
        <item m="1" x="11"/>
        <item x="0"/>
        <item x="1"/>
        <item x="2"/>
        <item x="3"/>
        <item x="4"/>
        <item x="5"/>
        <item t="default"/>
      </items>
    </pivotField>
    <pivotField axis="axisCol" showAll="0">
      <items count="11">
        <item x="7"/>
        <item x="3"/>
        <item x="4"/>
        <item x="1"/>
        <item x="8"/>
        <item x="0"/>
        <item x="9"/>
        <item x="5"/>
        <item x="6"/>
        <item x="2"/>
        <item t="default"/>
      </items>
    </pivotField>
    <pivotField numFmtId="10" showAll="0"/>
    <pivotField dataField="1" numFmtId="10" showAll="0"/>
    <pivotField numFmtId="10" showAll="0"/>
    <pivotField numFmtId="10" showAll="0"/>
    <pivotField numFmtId="10" showAll="0"/>
    <pivotField numFmtId="10" showAll="0"/>
    <pivotField numFmtId="10" showAll="0"/>
    <pivotField numFmtId="10" showAll="0"/>
    <pivotField showAll="0"/>
  </pivotFields>
  <rowFields count="1">
    <field x="1"/>
  </rowFields>
  <rowItems count="7"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Average of Accuracy(Validation)" fld="4" subtotal="average" baseField="1" baseItem="0" numFmtId="10"/>
  </dataFields>
  <formats count="11"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field="2" type="button" dataOnly="0" labelOnly="1" outline="0" axis="axisCol" fieldPosition="0"/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Col="1" outline="0" fieldPosition="0"/>
    </format>
    <format dxfId="15">
      <pivotArea outline="0" collapsedLevelsAreSubtotals="1" fieldPosition="0"/>
    </format>
    <format dxfId="14">
      <pivotArea field="2" type="button" dataOnly="0" labelOnly="1" outline="0" axis="axisCol" fieldPosition="0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grandCol="1" outline="0" fieldPosition="0"/>
    </format>
  </formats>
  <conditionalFormats count="18"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0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1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2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3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4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5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0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1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2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3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4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5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7">
      <pivotAreas count="1">
        <pivotArea fieldPosition="0">
          <references count="2">
            <reference field="1" count="1">
              <x v="6"/>
            </reference>
            <reference field="2" count="0" selected="0"/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7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8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9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10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11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11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2">
          <x14:conditionalFormat priority="8" id="{4275FAED-FBAC-4D01-8DE9-0D7255CD9300}">
            <x14:pivotAreas count="1">
              <pivotArea type="data" grandCol="1" collapsedLevelsAreSubtotals="1" fieldPosition="0">
                <references count="2">
                  <reference field="4294967294" count="1" selected="0">
                    <x v="0"/>
                  </reference>
                  <reference field="1" count="6">
                    <x v="0"/>
                    <x v="1"/>
                    <x v="2"/>
                    <x v="3"/>
                    <x v="4"/>
                    <x v="5"/>
                  </reference>
                </references>
              </pivotArea>
            </x14:pivotAreas>
          </x14:conditionalFormat>
          <x14:conditionalFormat priority="1" id="{3A9D3AF8-726A-4989-81CB-D4128E8FAE4A}">
            <x14:pivotAreas count="1">
              <pivotArea type="data" grandCol="1" collapsedLevelsAreSubtotals="1" fieldPosition="0">
                <references count="2">
                  <reference field="4294967294" count="1" selected="0">
                    <x v="0"/>
                  </reference>
                  <reference field="1" count="6">
                    <x v="6"/>
                    <x v="7"/>
                    <x v="8"/>
                    <x v="9"/>
                    <x v="10"/>
                    <x v="1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61FE-42CD-4807-8B8B-9A7434589DCA}">
  <dimension ref="B2:R54"/>
  <sheetViews>
    <sheetView showGridLines="0" tabSelected="1" workbookViewId="0"/>
  </sheetViews>
  <sheetFormatPr defaultRowHeight="15" x14ac:dyDescent="0.25"/>
  <cols>
    <col min="1" max="1" width="4.28515625" customWidth="1"/>
    <col min="2" max="2" width="33.28515625" style="3" customWidth="1"/>
    <col min="3" max="3" width="21.42578125" style="1" customWidth="1"/>
    <col min="4" max="4" width="22.140625" customWidth="1"/>
    <col min="5" max="5" width="21.42578125" style="1" customWidth="1"/>
    <col min="6" max="6" width="15.7109375" bestFit="1" customWidth="1"/>
    <col min="7" max="7" width="21.42578125" customWidth="1"/>
    <col min="8" max="8" width="15.7109375" bestFit="1" customWidth="1"/>
    <col min="9" max="9" width="21.42578125" customWidth="1"/>
    <col min="10" max="10" width="15.7109375" bestFit="1" customWidth="1"/>
    <col min="11" max="12" width="21.42578125" customWidth="1"/>
    <col min="13" max="13" width="18.85546875" bestFit="1" customWidth="1"/>
    <col min="14" max="14" width="15.7109375" bestFit="1" customWidth="1"/>
    <col min="15" max="15" width="21.7109375" bestFit="1" customWidth="1"/>
    <col min="16" max="16" width="15.7109375" bestFit="1" customWidth="1"/>
    <col min="17" max="17" width="21.85546875" bestFit="1" customWidth="1"/>
    <col min="18" max="18" width="15.7109375" bestFit="1" customWidth="1"/>
  </cols>
  <sheetData>
    <row r="2" spans="2:18" x14ac:dyDescent="0.25">
      <c r="B2" s="12"/>
      <c r="C2" s="13"/>
      <c r="D2" s="13"/>
      <c r="E2"/>
    </row>
    <row r="3" spans="2:18" s="7" customFormat="1" ht="13.9" customHeight="1" x14ac:dyDescent="0.25">
      <c r="B3" s="14"/>
      <c r="C3" s="15" t="s">
        <v>19</v>
      </c>
      <c r="D3" s="15" t="s">
        <v>17</v>
      </c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2:18" x14ac:dyDescent="0.25">
      <c r="B4" s="9"/>
      <c r="C4" s="10"/>
      <c r="D4" s="10"/>
      <c r="E4"/>
    </row>
    <row r="5" spans="2:18" x14ac:dyDescent="0.25">
      <c r="B5" s="18"/>
      <c r="C5" s="19" t="s">
        <v>11</v>
      </c>
      <c r="D5" s="19" t="s">
        <v>12</v>
      </c>
      <c r="E5"/>
    </row>
    <row r="6" spans="2:18" x14ac:dyDescent="0.25">
      <c r="B6" s="16" t="s">
        <v>20</v>
      </c>
      <c r="C6" s="11">
        <f>AVERAGEIF(raw_data!$C$2:$C$61,Comparison!B6,raw_data!$F$2:$F$61)</f>
        <v>0.84137538663366329</v>
      </c>
      <c r="D6" s="11" cm="1">
        <f t="array" ref="D6">_xlfn.STDEV.S(IF(raw_data!$C$2:$C$61=B6, raw_data!$F$2:$F$61))</f>
        <v>3.4324122089020186E-2</v>
      </c>
      <c r="E6"/>
    </row>
    <row r="7" spans="2:18" x14ac:dyDescent="0.25">
      <c r="B7" s="16" t="s">
        <v>21</v>
      </c>
      <c r="C7" s="17">
        <f>AVERAGEIF(raw_data!$C$2:$C$61,Comparison!B7,raw_data!$F$2:$F$61)</f>
        <v>0.82784970344753239</v>
      </c>
      <c r="D7" s="17" cm="1">
        <f t="array" ref="D7">_xlfn.STDEV.S(IF(raw_data!$C$2:$C$61=B7, raw_data!$F$2:$F$61))</f>
        <v>3.601469079383416E-2</v>
      </c>
      <c r="E7"/>
    </row>
    <row r="8" spans="2:18" x14ac:dyDescent="0.25">
      <c r="B8" s="16" t="s">
        <v>22</v>
      </c>
      <c r="C8" s="17">
        <f>AVERAGEIF(raw_data!$C$2:$C$61,Comparison!B8,raw_data!$F$2:$F$61)</f>
        <v>0.86286536315074325</v>
      </c>
      <c r="D8" s="17" cm="1">
        <f t="array" ref="D8">_xlfn.STDEV.S(IF(raw_data!$C$2:$C$61=B8, raw_data!$F$2:$F$61))</f>
        <v>2.4357115622488264E-2</v>
      </c>
      <c r="E8"/>
    </row>
    <row r="9" spans="2:18" x14ac:dyDescent="0.25">
      <c r="B9" s="16" t="s">
        <v>23</v>
      </c>
      <c r="C9" s="17">
        <f>AVERAGEIF(raw_data!$C$2:$C$61,Comparison!B9,raw_data!$F$2:$F$61)</f>
        <v>0.85265372074970824</v>
      </c>
      <c r="D9" s="17" cm="1">
        <f t="array" ref="D9">_xlfn.STDEV.S(IF(raw_data!$C$2:$C$61=B9, raw_data!$F$2:$F$61))</f>
        <v>3.8796933046877424E-2</v>
      </c>
      <c r="E9"/>
    </row>
    <row r="10" spans="2:18" x14ac:dyDescent="0.25">
      <c r="B10" s="16" t="s">
        <v>24</v>
      </c>
      <c r="C10" s="17">
        <f>AVERAGEIF(raw_data!$C$2:$C$61,Comparison!B10,raw_data!$F$2:$F$61)</f>
        <v>0.76980221302624974</v>
      </c>
      <c r="D10" s="17" cm="1">
        <f t="array" ref="D10">_xlfn.STDEV.S(IF(raw_data!$C$2:$C$61=B10, raw_data!$F$2:$F$61))</f>
        <v>4.3271181673136316E-2</v>
      </c>
      <c r="E10"/>
    </row>
    <row r="11" spans="2:18" x14ac:dyDescent="0.25">
      <c r="B11" s="23" t="s">
        <v>25</v>
      </c>
      <c r="C11" s="24">
        <f>AVERAGEIF(raw_data!$C$2:$C$61,Comparison!B11,raw_data!$F$2:$F$61)</f>
        <v>0.80028823293293061</v>
      </c>
      <c r="D11" s="24" cm="1">
        <f t="array" ref="D11">_xlfn.STDEV.S(IF(raw_data!$C$2:$C$61=B11, raw_data!$F$2:$F$61))</f>
        <v>2.7126764295843944E-2</v>
      </c>
      <c r="E11"/>
    </row>
    <row r="42" spans="2:12" s="20" customFormat="1" ht="35.450000000000003" customHeight="1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pans="2:12" s="20" customFormat="1" ht="35.450000000000003" customHeight="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2:12" s="20" customFormat="1" ht="35.450000000000003" customHeight="1" x14ac:dyDescent="0.25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2:12" s="20" customFormat="1" ht="35.450000000000003" customHeight="1" x14ac:dyDescent="0.25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7" spans="2:12" x14ac:dyDescent="0.25">
      <c r="B47" s="26"/>
      <c r="C47" s="26"/>
      <c r="D47" s="21"/>
    </row>
    <row r="48" spans="2:12" x14ac:dyDescent="0.25">
      <c r="D48" s="21"/>
    </row>
    <row r="49" spans="4:4" x14ac:dyDescent="0.25">
      <c r="D49" s="21"/>
    </row>
    <row r="50" spans="4:4" x14ac:dyDescent="0.25">
      <c r="D50" s="21"/>
    </row>
    <row r="51" spans="4:4" x14ac:dyDescent="0.25">
      <c r="D51" s="21"/>
    </row>
    <row r="52" spans="4:4" x14ac:dyDescent="0.25">
      <c r="D52" s="21"/>
    </row>
    <row r="53" spans="4:4" x14ac:dyDescent="0.25">
      <c r="D53" s="21"/>
    </row>
    <row r="54" spans="4:4" x14ac:dyDescent="0.25">
      <c r="D54" s="21"/>
    </row>
  </sheetData>
  <mergeCells count="5">
    <mergeCell ref="B42:L42"/>
    <mergeCell ref="B43:L43"/>
    <mergeCell ref="B44:L44"/>
    <mergeCell ref="B45:L45"/>
    <mergeCell ref="B47:C4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1813-8953-45E6-934E-1F937A403243}">
  <dimension ref="B2:M199"/>
  <sheetViews>
    <sheetView showGridLines="0" zoomScaleNormal="100" workbookViewId="0"/>
  </sheetViews>
  <sheetFormatPr defaultRowHeight="15" x14ac:dyDescent="0.25"/>
  <cols>
    <col min="1" max="1" width="2.7109375" customWidth="1"/>
    <col min="2" max="2" width="28.85546875" bestFit="1" customWidth="1"/>
    <col min="3" max="8" width="11.7109375" style="1" customWidth="1"/>
    <col min="9" max="9" width="11.7109375" style="5" customWidth="1"/>
    <col min="10" max="12" width="11.7109375" customWidth="1"/>
    <col min="13" max="13" width="25.28515625" customWidth="1"/>
  </cols>
  <sheetData>
    <row r="2" spans="2:13" x14ac:dyDescent="0.25">
      <c r="B2" s="4" t="s">
        <v>16</v>
      </c>
      <c r="C2" s="22" t="s">
        <v>15</v>
      </c>
      <c r="I2" s="1"/>
      <c r="J2" s="1"/>
      <c r="K2" s="1"/>
      <c r="L2" s="1"/>
      <c r="M2" s="1"/>
    </row>
    <row r="3" spans="2:13" x14ac:dyDescent="0.25">
      <c r="B3" s="4" t="s">
        <v>14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8</v>
      </c>
      <c r="I3" s="1">
        <v>6</v>
      </c>
      <c r="J3" s="1">
        <v>7</v>
      </c>
      <c r="K3" s="1">
        <v>9</v>
      </c>
      <c r="L3" s="1">
        <v>10</v>
      </c>
      <c r="M3" s="1" t="s">
        <v>18</v>
      </c>
    </row>
    <row r="4" spans="2:13" x14ac:dyDescent="0.25">
      <c r="B4" s="3" t="s">
        <v>20</v>
      </c>
      <c r="C4" s="2">
        <v>0.86610878661087798</v>
      </c>
      <c r="D4" s="2">
        <v>0.82268041237113398</v>
      </c>
      <c r="E4" s="2">
        <v>0.85447761194029803</v>
      </c>
      <c r="F4" s="2">
        <v>0.80300500834724498</v>
      </c>
      <c r="G4" s="2">
        <v>0.87334593572778796</v>
      </c>
      <c r="H4" s="2">
        <v>0.78231292517006801</v>
      </c>
      <c r="I4" s="2">
        <v>0.88478260869565195</v>
      </c>
      <c r="J4" s="2">
        <v>0.85591397849462303</v>
      </c>
      <c r="K4" s="2">
        <v>0.86129753914988805</v>
      </c>
      <c r="L4" s="2">
        <v>0.80982905982905895</v>
      </c>
      <c r="M4" s="2">
        <v>0.84137538663366329</v>
      </c>
    </row>
    <row r="5" spans="2:13" x14ac:dyDescent="0.25">
      <c r="B5" s="3" t="s">
        <v>21</v>
      </c>
      <c r="C5" s="2">
        <v>0.85983263598326298</v>
      </c>
      <c r="D5" s="2">
        <v>0.82680412371134004</v>
      </c>
      <c r="E5" s="2">
        <v>0.86380597014925298</v>
      </c>
      <c r="F5" s="2">
        <v>0.78464106844741199</v>
      </c>
      <c r="G5" s="2">
        <v>0.84877126654064206</v>
      </c>
      <c r="H5" s="2">
        <v>0.75510204081632604</v>
      </c>
      <c r="I5" s="2">
        <v>0.83913043478260796</v>
      </c>
      <c r="J5" s="2">
        <v>0.85806451612903201</v>
      </c>
      <c r="K5" s="2">
        <v>0.83892617449664397</v>
      </c>
      <c r="L5" s="2">
        <v>0.80341880341880301</v>
      </c>
      <c r="M5" s="2">
        <v>0.82784970344753217</v>
      </c>
    </row>
    <row r="6" spans="2:13" x14ac:dyDescent="0.25">
      <c r="B6" s="3" t="s">
        <v>22</v>
      </c>
      <c r="C6" s="2">
        <v>0.86750348675034805</v>
      </c>
      <c r="D6" s="2">
        <v>0.88281786941580698</v>
      </c>
      <c r="E6" s="2">
        <v>0.88215174129353202</v>
      </c>
      <c r="F6" s="2">
        <v>0.83249860879243098</v>
      </c>
      <c r="G6" s="2">
        <v>0.838059231253938</v>
      </c>
      <c r="H6" s="2">
        <v>0.83484504913076296</v>
      </c>
      <c r="I6" s="2">
        <v>0.86847826086956503</v>
      </c>
      <c r="J6" s="2">
        <v>0.87885304659498198</v>
      </c>
      <c r="K6" s="2">
        <v>0.90156599552572703</v>
      </c>
      <c r="L6" s="2">
        <v>0.841880341880341</v>
      </c>
      <c r="M6" s="2">
        <v>0.86286536315074325</v>
      </c>
    </row>
    <row r="7" spans="2:13" x14ac:dyDescent="0.25">
      <c r="B7" s="3" t="s">
        <v>23</v>
      </c>
      <c r="C7" s="2">
        <v>0.88075313807531297</v>
      </c>
      <c r="D7" s="2">
        <v>0.88865979381443205</v>
      </c>
      <c r="E7" s="2">
        <v>0.86225124378109397</v>
      </c>
      <c r="F7" s="2">
        <v>0.80467445742904797</v>
      </c>
      <c r="G7" s="2">
        <v>0.87523629489603005</v>
      </c>
      <c r="H7" s="2">
        <v>0.77815570672713497</v>
      </c>
      <c r="I7" s="2">
        <v>0.87789855072463696</v>
      </c>
      <c r="J7" s="2">
        <v>0.84587813620071595</v>
      </c>
      <c r="K7" s="2">
        <v>0.89038031319910504</v>
      </c>
      <c r="L7" s="2">
        <v>0.82264957264957195</v>
      </c>
      <c r="M7" s="2">
        <v>0.85265372074970824</v>
      </c>
    </row>
    <row r="8" spans="2:13" x14ac:dyDescent="0.25">
      <c r="B8" s="3" t="s">
        <v>24</v>
      </c>
      <c r="C8" s="2">
        <v>0.75732217573221705</v>
      </c>
      <c r="D8" s="2">
        <v>0.79116347569955803</v>
      </c>
      <c r="E8" s="2">
        <v>0.81743070362473302</v>
      </c>
      <c r="F8" s="2">
        <v>0.70283806343906496</v>
      </c>
      <c r="G8" s="2">
        <v>0.78341884958142005</v>
      </c>
      <c r="H8" s="2">
        <v>0.71396177518626502</v>
      </c>
      <c r="I8" s="2">
        <v>0.79720496894409898</v>
      </c>
      <c r="J8" s="2">
        <v>0.77480798771121295</v>
      </c>
      <c r="K8" s="2">
        <v>0.83093640140619995</v>
      </c>
      <c r="L8" s="2">
        <v>0.72893772893772801</v>
      </c>
      <c r="M8" s="2">
        <v>0.76980221302624985</v>
      </c>
    </row>
    <row r="9" spans="2:13" x14ac:dyDescent="0.25">
      <c r="B9" s="3" t="s">
        <v>25</v>
      </c>
      <c r="C9" s="2">
        <v>0.80543933054393302</v>
      </c>
      <c r="D9" s="2">
        <v>0.77702503681885104</v>
      </c>
      <c r="E9" s="2">
        <v>0.819029850746268</v>
      </c>
      <c r="F9" s="2">
        <v>0.77343191032673497</v>
      </c>
      <c r="G9" s="2">
        <v>0.82338644342425005</v>
      </c>
      <c r="H9" s="2">
        <v>0.78911564625850295</v>
      </c>
      <c r="I9" s="2">
        <v>0.82142857142857095</v>
      </c>
      <c r="J9" s="2">
        <v>0.79109062980030698</v>
      </c>
      <c r="K9" s="2">
        <v>0.84499840204538101</v>
      </c>
      <c r="L9" s="2">
        <v>0.75793650793650702</v>
      </c>
      <c r="M9" s="2">
        <v>0.80028823293293061</v>
      </c>
    </row>
    <row r="10" spans="2:13" x14ac:dyDescent="0.25">
      <c r="B10" s="3" t="s">
        <v>18</v>
      </c>
      <c r="C10" s="2">
        <v>0.83949325894932547</v>
      </c>
      <c r="D10" s="2">
        <v>0.83152511863852041</v>
      </c>
      <c r="E10" s="2">
        <v>0.8498578535891963</v>
      </c>
      <c r="F10" s="2">
        <v>0.78351485279698929</v>
      </c>
      <c r="G10" s="2">
        <v>0.84036967023734477</v>
      </c>
      <c r="H10" s="2">
        <v>0.77558219054817668</v>
      </c>
      <c r="I10" s="2">
        <v>0.84815389924085538</v>
      </c>
      <c r="J10" s="2">
        <v>0.83410138248847876</v>
      </c>
      <c r="K10" s="2">
        <v>0.86135080430382427</v>
      </c>
      <c r="L10" s="2">
        <v>0.7941086691086684</v>
      </c>
      <c r="M10" s="2">
        <v>0.82580576999013811</v>
      </c>
    </row>
    <row r="11" spans="2:13" x14ac:dyDescent="0.25">
      <c r="I11"/>
    </row>
    <row r="12" spans="2:13" x14ac:dyDescent="0.25">
      <c r="I12"/>
    </row>
    <row r="50" spans="5:12" x14ac:dyDescent="0.25">
      <c r="E50" s="2"/>
      <c r="F50" s="2"/>
      <c r="G50" s="2"/>
      <c r="H50" s="2"/>
      <c r="I50" s="6"/>
      <c r="J50" s="8"/>
      <c r="K50" s="8"/>
      <c r="L50" s="8"/>
    </row>
    <row r="51" spans="5:12" x14ac:dyDescent="0.25">
      <c r="E51" s="2"/>
      <c r="F51" s="2"/>
      <c r="G51" s="2"/>
      <c r="H51" s="2"/>
      <c r="I51" s="6"/>
      <c r="J51" s="8"/>
      <c r="K51" s="8"/>
      <c r="L51" s="8"/>
    </row>
    <row r="52" spans="5:12" x14ac:dyDescent="0.25">
      <c r="E52" s="2"/>
      <c r="F52" s="2"/>
      <c r="G52" s="2"/>
      <c r="H52" s="2"/>
      <c r="I52" s="6"/>
      <c r="J52" s="8"/>
      <c r="K52" s="8"/>
      <c r="L52" s="8"/>
    </row>
    <row r="53" spans="5:12" x14ac:dyDescent="0.25">
      <c r="E53" s="2"/>
      <c r="F53" s="2"/>
      <c r="G53" s="2"/>
      <c r="H53" s="2"/>
      <c r="I53" s="6"/>
      <c r="J53" s="8"/>
      <c r="K53" s="8"/>
      <c r="L53" s="8"/>
    </row>
    <row r="54" spans="5:12" x14ac:dyDescent="0.25">
      <c r="E54" s="2"/>
      <c r="F54" s="2"/>
      <c r="G54" s="2"/>
      <c r="H54" s="2"/>
      <c r="I54" s="6"/>
      <c r="J54" s="8"/>
      <c r="K54" s="8"/>
      <c r="L54" s="8"/>
    </row>
    <row r="55" spans="5:12" x14ac:dyDescent="0.25">
      <c r="E55" s="2"/>
      <c r="F55" s="2"/>
      <c r="G55" s="2"/>
      <c r="H55" s="2"/>
      <c r="I55" s="6"/>
      <c r="J55" s="8"/>
      <c r="K55" s="8"/>
      <c r="L55" s="8"/>
    </row>
    <row r="56" spans="5:12" x14ac:dyDescent="0.25">
      <c r="E56" s="2"/>
      <c r="F56" s="2"/>
      <c r="G56" s="2"/>
      <c r="H56" s="2"/>
      <c r="I56" s="6"/>
      <c r="J56" s="8"/>
      <c r="K56" s="8"/>
      <c r="L56" s="8"/>
    </row>
    <row r="57" spans="5:12" x14ac:dyDescent="0.25">
      <c r="E57" s="2"/>
      <c r="F57" s="2"/>
      <c r="G57" s="2"/>
      <c r="H57" s="2"/>
      <c r="I57" s="6"/>
      <c r="J57" s="8"/>
      <c r="K57" s="8"/>
      <c r="L57" s="8"/>
    </row>
    <row r="58" spans="5:12" x14ac:dyDescent="0.25">
      <c r="E58" s="2"/>
      <c r="F58" s="2"/>
      <c r="G58" s="2"/>
      <c r="H58" s="2"/>
      <c r="I58" s="6"/>
      <c r="J58" s="8"/>
      <c r="K58" s="8"/>
      <c r="L58" s="8"/>
    </row>
    <row r="59" spans="5:12" x14ac:dyDescent="0.25">
      <c r="E59" s="2"/>
      <c r="F59" s="2"/>
      <c r="G59" s="2"/>
      <c r="H59" s="2"/>
      <c r="I59" s="6"/>
      <c r="J59" s="8"/>
      <c r="K59" s="8"/>
      <c r="L59" s="8"/>
    </row>
    <row r="60" spans="5:12" x14ac:dyDescent="0.25">
      <c r="E60" s="2"/>
      <c r="F60" s="2"/>
      <c r="G60" s="2"/>
      <c r="H60" s="2"/>
      <c r="I60" s="6"/>
      <c r="J60" s="8"/>
      <c r="K60" s="8"/>
      <c r="L60" s="8"/>
    </row>
    <row r="61" spans="5:12" x14ac:dyDescent="0.25">
      <c r="E61" s="2"/>
      <c r="F61" s="2"/>
      <c r="G61" s="2"/>
      <c r="H61" s="2"/>
      <c r="I61" s="6"/>
      <c r="J61" s="8"/>
      <c r="K61" s="8"/>
      <c r="L61" s="8"/>
    </row>
    <row r="62" spans="5:12" x14ac:dyDescent="0.25">
      <c r="E62" s="2"/>
      <c r="F62" s="2"/>
      <c r="G62" s="2"/>
      <c r="H62" s="2"/>
      <c r="I62" s="6"/>
      <c r="J62" s="8"/>
      <c r="K62" s="8"/>
      <c r="L62" s="8"/>
    </row>
    <row r="63" spans="5:12" x14ac:dyDescent="0.25">
      <c r="E63" s="2"/>
      <c r="F63" s="2"/>
      <c r="G63" s="2"/>
      <c r="H63" s="2"/>
      <c r="I63" s="6"/>
      <c r="J63" s="8"/>
      <c r="K63" s="8"/>
      <c r="L63" s="8"/>
    </row>
    <row r="64" spans="5:12" x14ac:dyDescent="0.25">
      <c r="E64" s="2"/>
      <c r="F64" s="2"/>
      <c r="G64" s="2"/>
      <c r="H64" s="2"/>
      <c r="I64" s="6"/>
      <c r="J64" s="8"/>
      <c r="K64" s="8"/>
      <c r="L64" s="8"/>
    </row>
    <row r="65" spans="5:12" x14ac:dyDescent="0.25">
      <c r="E65" s="2"/>
      <c r="F65" s="2"/>
      <c r="G65" s="2"/>
      <c r="H65" s="2"/>
      <c r="I65" s="6"/>
      <c r="J65" s="8"/>
      <c r="K65" s="8"/>
      <c r="L65" s="8"/>
    </row>
    <row r="66" spans="5:12" x14ac:dyDescent="0.25">
      <c r="E66" s="2"/>
      <c r="F66" s="2"/>
      <c r="G66" s="2"/>
      <c r="H66" s="2"/>
      <c r="I66" s="6"/>
      <c r="J66" s="8"/>
      <c r="K66" s="8"/>
      <c r="L66" s="8"/>
    </row>
    <row r="67" spans="5:12" x14ac:dyDescent="0.25">
      <c r="E67" s="2"/>
      <c r="F67" s="2"/>
      <c r="G67" s="2"/>
      <c r="H67" s="2"/>
      <c r="I67" s="6"/>
      <c r="J67" s="8"/>
      <c r="K67" s="8"/>
      <c r="L67" s="8"/>
    </row>
    <row r="68" spans="5:12" x14ac:dyDescent="0.25">
      <c r="E68" s="2"/>
      <c r="F68" s="2"/>
      <c r="G68" s="2"/>
      <c r="H68" s="2"/>
      <c r="I68" s="6"/>
      <c r="J68" s="8"/>
      <c r="K68" s="8"/>
      <c r="L68" s="8"/>
    </row>
    <row r="69" spans="5:12" x14ac:dyDescent="0.25">
      <c r="E69" s="2"/>
      <c r="F69" s="2"/>
      <c r="G69" s="2"/>
      <c r="H69" s="2"/>
      <c r="I69" s="6"/>
      <c r="J69" s="8"/>
      <c r="K69" s="8"/>
      <c r="L69" s="8"/>
    </row>
    <row r="70" spans="5:12" x14ac:dyDescent="0.25">
      <c r="E70" s="2"/>
      <c r="F70" s="2"/>
      <c r="G70" s="2"/>
      <c r="H70" s="2"/>
      <c r="I70" s="6"/>
      <c r="J70" s="8"/>
      <c r="K70" s="8"/>
      <c r="L70" s="8"/>
    </row>
    <row r="71" spans="5:12" x14ac:dyDescent="0.25">
      <c r="E71" s="2"/>
      <c r="F71" s="2"/>
      <c r="G71" s="2"/>
      <c r="H71" s="2"/>
      <c r="I71" s="6"/>
      <c r="J71" s="8"/>
      <c r="K71" s="8"/>
      <c r="L71" s="8"/>
    </row>
    <row r="72" spans="5:12" x14ac:dyDescent="0.25">
      <c r="E72" s="2"/>
      <c r="F72" s="2"/>
      <c r="G72" s="2"/>
      <c r="H72" s="2"/>
      <c r="I72" s="6"/>
      <c r="J72" s="8"/>
      <c r="K72" s="8"/>
      <c r="L72" s="8"/>
    </row>
    <row r="73" spans="5:12" x14ac:dyDescent="0.25">
      <c r="E73" s="2"/>
      <c r="F73" s="2"/>
      <c r="G73" s="2"/>
      <c r="H73" s="2"/>
      <c r="I73" s="6"/>
      <c r="J73" s="8"/>
      <c r="K73" s="8"/>
      <c r="L73" s="8"/>
    </row>
    <row r="74" spans="5:12" x14ac:dyDescent="0.25">
      <c r="E74" s="2"/>
      <c r="F74" s="2"/>
      <c r="G74" s="2"/>
      <c r="H74" s="2"/>
      <c r="I74" s="6"/>
      <c r="J74" s="8"/>
      <c r="K74" s="8"/>
      <c r="L74" s="8"/>
    </row>
    <row r="75" spans="5:12" x14ac:dyDescent="0.25">
      <c r="E75" s="2"/>
      <c r="F75" s="2"/>
      <c r="G75" s="2"/>
      <c r="H75" s="2"/>
      <c r="I75" s="6"/>
      <c r="J75" s="8"/>
      <c r="K75" s="8"/>
      <c r="L75" s="8"/>
    </row>
    <row r="76" spans="5:12" x14ac:dyDescent="0.25">
      <c r="E76" s="2"/>
      <c r="F76" s="2"/>
      <c r="G76" s="2"/>
      <c r="H76" s="2"/>
      <c r="I76" s="6"/>
      <c r="J76" s="8"/>
      <c r="K76" s="8"/>
      <c r="L76" s="8"/>
    </row>
    <row r="77" spans="5:12" x14ac:dyDescent="0.25">
      <c r="E77" s="2"/>
      <c r="F77" s="2"/>
      <c r="G77" s="2"/>
      <c r="H77" s="2"/>
      <c r="I77" s="6"/>
      <c r="J77" s="8"/>
      <c r="K77" s="8"/>
      <c r="L77" s="8"/>
    </row>
    <row r="78" spans="5:12" x14ac:dyDescent="0.25">
      <c r="E78" s="2"/>
      <c r="F78" s="2"/>
      <c r="G78" s="2"/>
      <c r="H78" s="2"/>
      <c r="I78" s="6"/>
      <c r="J78" s="8"/>
      <c r="K78" s="8"/>
      <c r="L78" s="8"/>
    </row>
    <row r="79" spans="5:12" x14ac:dyDescent="0.25">
      <c r="E79" s="2"/>
      <c r="F79" s="2"/>
      <c r="G79" s="2"/>
      <c r="H79" s="2"/>
      <c r="I79" s="6"/>
      <c r="J79" s="8"/>
      <c r="K79" s="8"/>
      <c r="L79" s="8"/>
    </row>
    <row r="80" spans="5:12" x14ac:dyDescent="0.25">
      <c r="E80" s="2"/>
      <c r="F80" s="2"/>
      <c r="G80" s="2"/>
      <c r="H80" s="2"/>
      <c r="I80" s="6"/>
      <c r="J80" s="8"/>
      <c r="K80" s="8"/>
      <c r="L80" s="8"/>
    </row>
    <row r="81" spans="5:12" x14ac:dyDescent="0.25">
      <c r="E81" s="2"/>
      <c r="F81" s="2"/>
      <c r="G81" s="2"/>
      <c r="H81" s="2"/>
      <c r="I81" s="6"/>
      <c r="J81" s="8"/>
      <c r="K81" s="8"/>
      <c r="L81" s="8"/>
    </row>
    <row r="82" spans="5:12" x14ac:dyDescent="0.25">
      <c r="E82" s="2"/>
      <c r="F82" s="2"/>
      <c r="G82" s="2"/>
      <c r="H82" s="2"/>
      <c r="I82" s="6"/>
      <c r="J82" s="8"/>
      <c r="K82" s="8"/>
      <c r="L82" s="8"/>
    </row>
    <row r="83" spans="5:12" x14ac:dyDescent="0.25">
      <c r="E83" s="2"/>
      <c r="F83" s="2"/>
      <c r="G83" s="2"/>
      <c r="H83" s="2"/>
      <c r="I83" s="6"/>
      <c r="J83" s="8"/>
      <c r="K83" s="8"/>
      <c r="L83" s="8"/>
    </row>
    <row r="84" spans="5:12" x14ac:dyDescent="0.25">
      <c r="E84" s="2"/>
      <c r="F84" s="2"/>
      <c r="G84" s="2"/>
      <c r="H84" s="2"/>
      <c r="I84" s="6"/>
      <c r="J84" s="8"/>
      <c r="K84" s="8"/>
      <c r="L84" s="8"/>
    </row>
    <row r="85" spans="5:12" x14ac:dyDescent="0.25">
      <c r="E85" s="2"/>
      <c r="F85" s="2"/>
      <c r="G85" s="2"/>
      <c r="H85" s="2"/>
      <c r="I85" s="6"/>
      <c r="J85" s="8"/>
      <c r="K85" s="8"/>
      <c r="L85" s="8"/>
    </row>
    <row r="86" spans="5:12" x14ac:dyDescent="0.25">
      <c r="E86" s="2"/>
      <c r="F86" s="2"/>
      <c r="G86" s="2"/>
      <c r="H86" s="2"/>
      <c r="I86" s="6"/>
      <c r="J86" s="8"/>
      <c r="K86" s="8"/>
      <c r="L86" s="8"/>
    </row>
    <row r="87" spans="5:12" x14ac:dyDescent="0.25">
      <c r="E87" s="2"/>
      <c r="F87" s="2"/>
      <c r="G87" s="2"/>
      <c r="H87" s="2"/>
      <c r="I87" s="2"/>
      <c r="J87" s="8"/>
      <c r="K87" s="8"/>
      <c r="L87" s="8"/>
    </row>
    <row r="88" spans="5:12" x14ac:dyDescent="0.25">
      <c r="E88" s="2"/>
      <c r="F88" s="2"/>
      <c r="G88" s="2"/>
      <c r="H88" s="2"/>
      <c r="I88" s="2"/>
      <c r="J88" s="8"/>
      <c r="K88" s="8"/>
      <c r="L88" s="8"/>
    </row>
    <row r="89" spans="5:12" x14ac:dyDescent="0.25">
      <c r="E89" s="2"/>
      <c r="F89" s="2"/>
      <c r="G89" s="2"/>
      <c r="H89" s="2"/>
      <c r="I89" s="2"/>
      <c r="J89" s="8"/>
      <c r="K89" s="8"/>
      <c r="L89" s="8"/>
    </row>
    <row r="90" spans="5:12" x14ac:dyDescent="0.25">
      <c r="E90" s="2"/>
      <c r="F90" s="2"/>
      <c r="G90" s="2"/>
      <c r="H90" s="2"/>
      <c r="I90" s="2"/>
      <c r="J90" s="8"/>
      <c r="K90" s="8"/>
      <c r="L90" s="8"/>
    </row>
    <row r="91" spans="5:12" x14ac:dyDescent="0.25">
      <c r="E91" s="2"/>
      <c r="F91" s="2"/>
      <c r="G91" s="2"/>
      <c r="H91" s="2"/>
      <c r="I91" s="2"/>
      <c r="J91" s="8"/>
      <c r="K91" s="8"/>
      <c r="L91" s="8"/>
    </row>
    <row r="93" spans="5:12" x14ac:dyDescent="0.25">
      <c r="I93"/>
    </row>
    <row r="94" spans="5:12" x14ac:dyDescent="0.25">
      <c r="I94"/>
    </row>
    <row r="95" spans="5:12" x14ac:dyDescent="0.25">
      <c r="I95"/>
    </row>
    <row r="96" spans="5:12" x14ac:dyDescent="0.25">
      <c r="I96"/>
    </row>
    <row r="97" spans="9:9" x14ac:dyDescent="0.25">
      <c r="I97"/>
    </row>
    <row r="98" spans="9:9" x14ac:dyDescent="0.25">
      <c r="I98"/>
    </row>
    <row r="99" spans="9:9" x14ac:dyDescent="0.25">
      <c r="I99"/>
    </row>
    <row r="100" spans="9:9" x14ac:dyDescent="0.25">
      <c r="I100"/>
    </row>
    <row r="101" spans="9:9" x14ac:dyDescent="0.25">
      <c r="I101"/>
    </row>
    <row r="102" spans="9:9" x14ac:dyDescent="0.25">
      <c r="I102"/>
    </row>
    <row r="116" spans="11:11" x14ac:dyDescent="0.25">
      <c r="K116" s="2"/>
    </row>
    <row r="117" spans="11:11" x14ac:dyDescent="0.25">
      <c r="K117" s="2"/>
    </row>
    <row r="118" spans="11:11" x14ac:dyDescent="0.25">
      <c r="K118" s="2"/>
    </row>
    <row r="119" spans="11:11" x14ac:dyDescent="0.25">
      <c r="K119" s="2"/>
    </row>
    <row r="120" spans="11:11" x14ac:dyDescent="0.25">
      <c r="K120" s="2"/>
    </row>
    <row r="121" spans="11:11" x14ac:dyDescent="0.25">
      <c r="K121" s="2"/>
    </row>
    <row r="122" spans="11:11" x14ac:dyDescent="0.25">
      <c r="K122" s="2"/>
    </row>
    <row r="123" spans="11:11" x14ac:dyDescent="0.25">
      <c r="K123" s="2"/>
    </row>
    <row r="170" spans="9:9" x14ac:dyDescent="0.25">
      <c r="I170"/>
    </row>
    <row r="171" spans="9:9" x14ac:dyDescent="0.25">
      <c r="I171"/>
    </row>
    <row r="172" spans="9:9" x14ac:dyDescent="0.25">
      <c r="I172"/>
    </row>
    <row r="173" spans="9:9" x14ac:dyDescent="0.25">
      <c r="I173"/>
    </row>
    <row r="174" spans="9:9" x14ac:dyDescent="0.25">
      <c r="I174"/>
    </row>
    <row r="175" spans="9:9" x14ac:dyDescent="0.25">
      <c r="I175"/>
    </row>
    <row r="176" spans="9:9" x14ac:dyDescent="0.25">
      <c r="I176"/>
    </row>
    <row r="177" spans="9:9" x14ac:dyDescent="0.25">
      <c r="I177"/>
    </row>
    <row r="178" spans="9:9" x14ac:dyDescent="0.25">
      <c r="I178"/>
    </row>
    <row r="179" spans="9:9" x14ac:dyDescent="0.25">
      <c r="I179"/>
    </row>
    <row r="180" spans="9:9" x14ac:dyDescent="0.25">
      <c r="I180"/>
    </row>
    <row r="181" spans="9:9" x14ac:dyDescent="0.25">
      <c r="I181"/>
    </row>
    <row r="182" spans="9:9" x14ac:dyDescent="0.25">
      <c r="I182"/>
    </row>
    <row r="183" spans="9:9" x14ac:dyDescent="0.25">
      <c r="I183"/>
    </row>
    <row r="184" spans="9:9" x14ac:dyDescent="0.25">
      <c r="I184"/>
    </row>
    <row r="185" spans="9:9" x14ac:dyDescent="0.25">
      <c r="I185"/>
    </row>
    <row r="186" spans="9:9" x14ac:dyDescent="0.25">
      <c r="I186"/>
    </row>
    <row r="187" spans="9:9" x14ac:dyDescent="0.25">
      <c r="I187"/>
    </row>
    <row r="188" spans="9:9" x14ac:dyDescent="0.25">
      <c r="I188"/>
    </row>
    <row r="189" spans="9:9" x14ac:dyDescent="0.25">
      <c r="I189"/>
    </row>
    <row r="190" spans="9:9" x14ac:dyDescent="0.25">
      <c r="I190"/>
    </row>
    <row r="191" spans="9:9" x14ac:dyDescent="0.25">
      <c r="I191"/>
    </row>
    <row r="192" spans="9:9" x14ac:dyDescent="0.25">
      <c r="I192"/>
    </row>
    <row r="193" spans="9:9" x14ac:dyDescent="0.25">
      <c r="I193"/>
    </row>
    <row r="194" spans="9:9" x14ac:dyDescent="0.25">
      <c r="I194"/>
    </row>
    <row r="195" spans="9:9" x14ac:dyDescent="0.25">
      <c r="I195"/>
    </row>
    <row r="196" spans="9:9" x14ac:dyDescent="0.25">
      <c r="I196"/>
    </row>
    <row r="197" spans="9:9" x14ac:dyDescent="0.25">
      <c r="I197"/>
    </row>
    <row r="198" spans="9:9" x14ac:dyDescent="0.25">
      <c r="I198"/>
    </row>
    <row r="199" spans="9:9" x14ac:dyDescent="0.25">
      <c r="I199"/>
    </row>
  </sheetData>
  <conditionalFormatting sqref="K116:K123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:L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:L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6:L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7:L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8:L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9:L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8" id="{4275FAED-FBAC-4D01-8DE9-0D7255CD930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" id="{3A9D3AF8-726A-4989-81CB-D4128E8FAE4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M4:M9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opLeftCell="A64" zoomScaleNormal="100" workbookViewId="0">
      <selection activeCell="P68" sqref="P68"/>
    </sheetView>
  </sheetViews>
  <sheetFormatPr defaultRowHeight="15" x14ac:dyDescent="0.25"/>
  <cols>
    <col min="1" max="1" width="3" style="1" bestFit="1" customWidth="1"/>
    <col min="2" max="2" width="5.28515625" style="1" bestFit="1" customWidth="1"/>
    <col min="3" max="3" width="28.85546875" style="1" bestFit="1" customWidth="1"/>
    <col min="4" max="4" width="10.28515625" style="1" customWidth="1"/>
    <col min="5" max="5" width="18.7109375" style="1" bestFit="1" customWidth="1"/>
    <col min="6" max="6" width="19.7109375" style="1" bestFit="1" customWidth="1"/>
    <col min="7" max="7" width="18.7109375" style="1" bestFit="1" customWidth="1"/>
    <col min="8" max="8" width="19.7109375" style="1" bestFit="1" customWidth="1"/>
    <col min="9" max="9" width="18.7109375" style="1" bestFit="1" customWidth="1"/>
    <col min="10" max="10" width="19.7109375" style="1" bestFit="1" customWidth="1"/>
    <col min="11" max="11" width="18.7109375" style="1" bestFit="1" customWidth="1"/>
    <col min="12" max="12" width="19.7109375" style="1" bestFit="1" customWidth="1"/>
    <col min="13" max="13" width="11.85546875" style="1" bestFit="1" customWidth="1"/>
    <col min="14" max="14" width="8.85546875" style="1"/>
  </cols>
  <sheetData>
    <row r="1" spans="1:13" ht="13.9" customHeight="1" x14ac:dyDescent="0.25">
      <c r="B1" s="1" t="s">
        <v>0</v>
      </c>
      <c r="C1" s="1" t="s">
        <v>1</v>
      </c>
      <c r="D1" s="1" t="s">
        <v>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>
        <v>0</v>
      </c>
      <c r="B2">
        <v>17</v>
      </c>
      <c r="C2" t="s">
        <v>20</v>
      </c>
      <c r="D2" s="1">
        <v>8</v>
      </c>
      <c r="E2" s="6">
        <v>0.99527363184079598</v>
      </c>
      <c r="F2" s="6">
        <v>0.78231292517006801</v>
      </c>
      <c r="G2" s="6">
        <v>0.99527231949672301</v>
      </c>
      <c r="H2" s="6">
        <v>0.780172465792206</v>
      </c>
      <c r="I2" s="6">
        <v>0.99530801982569705</v>
      </c>
      <c r="J2" s="6">
        <v>0.80927108581057094</v>
      </c>
      <c r="K2" s="6">
        <v>0.99527363184079598</v>
      </c>
      <c r="L2" s="6">
        <v>0.78231292517006801</v>
      </c>
      <c r="M2">
        <v>500</v>
      </c>
    </row>
    <row r="3" spans="1:13" x14ac:dyDescent="0.25">
      <c r="A3">
        <v>1</v>
      </c>
      <c r="B3">
        <v>9</v>
      </c>
      <c r="C3" t="s">
        <v>20</v>
      </c>
      <c r="D3" s="1">
        <v>4</v>
      </c>
      <c r="E3" s="6">
        <v>0.99974213512119603</v>
      </c>
      <c r="F3" s="6">
        <v>0.80300500834724498</v>
      </c>
      <c r="G3" s="6">
        <v>0.99974213502293896</v>
      </c>
      <c r="H3" s="6">
        <v>0.80701728444127596</v>
      </c>
      <c r="I3" s="6">
        <v>0.99974245308035603</v>
      </c>
      <c r="J3" s="6">
        <v>0.82499847833094697</v>
      </c>
      <c r="K3" s="6">
        <v>0.99974213512119603</v>
      </c>
      <c r="L3" s="6">
        <v>0.80300500834724498</v>
      </c>
      <c r="M3">
        <v>578125</v>
      </c>
    </row>
    <row r="4" spans="1:13" x14ac:dyDescent="0.25">
      <c r="A4">
        <v>2</v>
      </c>
      <c r="B4">
        <v>3</v>
      </c>
      <c r="C4" t="s">
        <v>20</v>
      </c>
      <c r="D4" s="1">
        <v>10</v>
      </c>
      <c r="E4" s="6">
        <v>0.99899899899899902</v>
      </c>
      <c r="F4" s="6">
        <v>0.80982905982905895</v>
      </c>
      <c r="G4" s="6">
        <v>0.99899905511121301</v>
      </c>
      <c r="H4" s="6">
        <v>0.80985531073235895</v>
      </c>
      <c r="I4" s="6">
        <v>0.99900232294796798</v>
      </c>
      <c r="J4" s="6">
        <v>0.81895157419632902</v>
      </c>
      <c r="K4" s="6">
        <v>0.99899899899899902</v>
      </c>
      <c r="L4" s="6">
        <v>0.80982905982905895</v>
      </c>
      <c r="M4">
        <v>625</v>
      </c>
    </row>
    <row r="5" spans="1:13" x14ac:dyDescent="0.25">
      <c r="A5">
        <v>3</v>
      </c>
      <c r="B5">
        <v>5</v>
      </c>
      <c r="C5" t="s">
        <v>20</v>
      </c>
      <c r="D5" s="1">
        <v>2</v>
      </c>
      <c r="E5" s="6">
        <v>1</v>
      </c>
      <c r="F5" s="6">
        <v>0.82268041237113398</v>
      </c>
      <c r="G5" s="6">
        <v>1</v>
      </c>
      <c r="H5" s="6">
        <v>0.81515877275968396</v>
      </c>
      <c r="I5" s="6">
        <v>1</v>
      </c>
      <c r="J5" s="6">
        <v>0.82606151154292795</v>
      </c>
      <c r="K5" s="6">
        <v>1</v>
      </c>
      <c r="L5" s="6">
        <v>0.82268041237113398</v>
      </c>
      <c r="M5">
        <v>625</v>
      </c>
    </row>
    <row r="6" spans="1:13" x14ac:dyDescent="0.25">
      <c r="A6">
        <v>4</v>
      </c>
      <c r="B6">
        <v>7</v>
      </c>
      <c r="C6" t="s">
        <v>20</v>
      </c>
      <c r="D6" s="1">
        <v>3</v>
      </c>
      <c r="E6" s="6">
        <v>0.99084900864260295</v>
      </c>
      <c r="F6" s="6">
        <v>0.85447761194029803</v>
      </c>
      <c r="G6" s="6">
        <v>0.99083392000403203</v>
      </c>
      <c r="H6" s="6">
        <v>0.856241921033845</v>
      </c>
      <c r="I6" s="6">
        <v>0.99092955213853595</v>
      </c>
      <c r="J6" s="6">
        <v>0.86250034722013802</v>
      </c>
      <c r="K6" s="6">
        <v>0.99084900864260295</v>
      </c>
      <c r="L6" s="6">
        <v>0.85447761194029803</v>
      </c>
      <c r="M6">
        <v>750</v>
      </c>
    </row>
    <row r="7" spans="1:13" x14ac:dyDescent="0.25">
      <c r="A7">
        <v>5</v>
      </c>
      <c r="B7">
        <v>15</v>
      </c>
      <c r="C7" t="s">
        <v>20</v>
      </c>
      <c r="D7" s="1">
        <v>7</v>
      </c>
      <c r="E7" s="6">
        <v>0.99649824912456197</v>
      </c>
      <c r="F7" s="6">
        <v>0.85591397849462303</v>
      </c>
      <c r="G7" s="6">
        <v>0.99650199993586197</v>
      </c>
      <c r="H7" s="6">
        <v>0.85646499467602399</v>
      </c>
      <c r="I7" s="6">
        <v>0.99653093279906602</v>
      </c>
      <c r="J7" s="6">
        <v>0.86087234665658796</v>
      </c>
      <c r="K7" s="6">
        <v>0.99649824912456197</v>
      </c>
      <c r="L7" s="6">
        <v>0.85591397849462303</v>
      </c>
      <c r="M7">
        <v>375</v>
      </c>
    </row>
    <row r="8" spans="1:13" x14ac:dyDescent="0.25">
      <c r="A8">
        <v>6</v>
      </c>
      <c r="B8">
        <v>19</v>
      </c>
      <c r="C8" t="s">
        <v>20</v>
      </c>
      <c r="D8" s="1">
        <v>9</v>
      </c>
      <c r="E8" s="6">
        <v>0.98928749377179803</v>
      </c>
      <c r="F8" s="6">
        <v>0.86129753914988805</v>
      </c>
      <c r="G8" s="6">
        <v>0.98938352776977301</v>
      </c>
      <c r="H8" s="6">
        <v>0.86021661220235401</v>
      </c>
      <c r="I8" s="6">
        <v>0.98980243262203604</v>
      </c>
      <c r="J8" s="6">
        <v>0.866952942977818</v>
      </c>
      <c r="K8" s="6">
        <v>0.98928749377179803</v>
      </c>
      <c r="L8" s="6">
        <v>0.86129753914988805</v>
      </c>
      <c r="M8">
        <v>359375</v>
      </c>
    </row>
    <row r="9" spans="1:13" x14ac:dyDescent="0.25">
      <c r="A9">
        <v>7</v>
      </c>
      <c r="B9">
        <v>1</v>
      </c>
      <c r="C9" t="s">
        <v>20</v>
      </c>
      <c r="D9" s="1">
        <v>1</v>
      </c>
      <c r="E9" s="6">
        <v>1</v>
      </c>
      <c r="F9" s="6">
        <v>0.86610878661087798</v>
      </c>
      <c r="G9" s="6">
        <v>1</v>
      </c>
      <c r="H9" s="6">
        <v>0.86577921692515003</v>
      </c>
      <c r="I9" s="6">
        <v>1</v>
      </c>
      <c r="J9" s="6">
        <v>0.868270013673067</v>
      </c>
      <c r="K9" s="6">
        <v>1</v>
      </c>
      <c r="L9" s="6">
        <v>0.86610878661087798</v>
      </c>
      <c r="M9">
        <v>390625</v>
      </c>
    </row>
    <row r="10" spans="1:13" x14ac:dyDescent="0.25">
      <c r="A10">
        <v>8</v>
      </c>
      <c r="B10">
        <v>11</v>
      </c>
      <c r="C10" t="s">
        <v>20</v>
      </c>
      <c r="D10" s="1">
        <v>5</v>
      </c>
      <c r="E10" s="6">
        <v>0.99974625729510203</v>
      </c>
      <c r="F10" s="6">
        <v>0.87334593572778796</v>
      </c>
      <c r="G10" s="6">
        <v>0.99974625729510203</v>
      </c>
      <c r="H10" s="6">
        <v>0.874009641692582</v>
      </c>
      <c r="I10" s="6">
        <v>0.99974657017143398</v>
      </c>
      <c r="J10" s="6">
        <v>0.88057230130773301</v>
      </c>
      <c r="K10" s="6">
        <v>0.99974625729510203</v>
      </c>
      <c r="L10" s="6">
        <v>0.87334593572778796</v>
      </c>
      <c r="M10">
        <v>500</v>
      </c>
    </row>
    <row r="11" spans="1:13" x14ac:dyDescent="0.25">
      <c r="A11">
        <v>9</v>
      </c>
      <c r="B11">
        <v>13</v>
      </c>
      <c r="C11" t="s">
        <v>20</v>
      </c>
      <c r="D11" s="1">
        <v>6</v>
      </c>
      <c r="E11" s="6">
        <v>0.99675243567324501</v>
      </c>
      <c r="F11" s="6">
        <v>0.88478260869565195</v>
      </c>
      <c r="G11" s="6">
        <v>0.99675597950550099</v>
      </c>
      <c r="H11" s="6">
        <v>0.88186757875542499</v>
      </c>
      <c r="I11" s="6">
        <v>0.99679506037299404</v>
      </c>
      <c r="J11" s="6">
        <v>0.88662003127494804</v>
      </c>
      <c r="K11" s="6">
        <v>0.99675243567324501</v>
      </c>
      <c r="L11" s="6">
        <v>0.88478260869565195</v>
      </c>
      <c r="M11">
        <v>343.75</v>
      </c>
    </row>
    <row r="12" spans="1:13" x14ac:dyDescent="0.25">
      <c r="A12">
        <v>10</v>
      </c>
      <c r="B12">
        <v>16</v>
      </c>
      <c r="C12" t="s">
        <v>21</v>
      </c>
      <c r="D12" s="1">
        <v>8</v>
      </c>
      <c r="E12" s="6">
        <v>0.99875621890547195</v>
      </c>
      <c r="F12" s="6">
        <v>0.75510204081632604</v>
      </c>
      <c r="G12" s="6">
        <v>0.99875750047374401</v>
      </c>
      <c r="H12" s="6">
        <v>0.75571103516448401</v>
      </c>
      <c r="I12" s="6">
        <v>0.99876530506490402</v>
      </c>
      <c r="J12" s="6">
        <v>0.78783698184338702</v>
      </c>
      <c r="K12" s="6">
        <v>0.99875621890547195</v>
      </c>
      <c r="L12" s="6">
        <v>0.75510204081632604</v>
      </c>
      <c r="M12">
        <v>296875</v>
      </c>
    </row>
    <row r="13" spans="1:13" x14ac:dyDescent="0.25">
      <c r="A13">
        <v>11</v>
      </c>
      <c r="B13">
        <v>8</v>
      </c>
      <c r="C13" t="s">
        <v>21</v>
      </c>
      <c r="D13" s="1">
        <v>4</v>
      </c>
      <c r="E13" s="6">
        <v>0.98788035069623503</v>
      </c>
      <c r="F13" s="6">
        <v>0.78464106844741199</v>
      </c>
      <c r="G13" s="6">
        <v>0.98790002094445795</v>
      </c>
      <c r="H13" s="6">
        <v>0.78936099414841299</v>
      </c>
      <c r="I13" s="6">
        <v>0.98808552700893204</v>
      </c>
      <c r="J13" s="6">
        <v>0.81020129333983604</v>
      </c>
      <c r="K13" s="6">
        <v>0.98788035069623503</v>
      </c>
      <c r="L13" s="6">
        <v>0.78464106844741199</v>
      </c>
      <c r="M13">
        <v>234375</v>
      </c>
    </row>
    <row r="14" spans="1:13" x14ac:dyDescent="0.25">
      <c r="A14">
        <v>12</v>
      </c>
      <c r="B14">
        <v>2</v>
      </c>
      <c r="C14" t="s">
        <v>21</v>
      </c>
      <c r="D14" s="1">
        <v>10</v>
      </c>
      <c r="E14" s="6">
        <v>0.98423423423423395</v>
      </c>
      <c r="F14" s="6">
        <v>0.80341880341880301</v>
      </c>
      <c r="G14" s="6">
        <v>0.98426975813280904</v>
      </c>
      <c r="H14" s="6">
        <v>0.79696144012745995</v>
      </c>
      <c r="I14" s="6">
        <v>0.98483401110338598</v>
      </c>
      <c r="J14" s="6">
        <v>0.82220694496056801</v>
      </c>
      <c r="K14" s="6">
        <v>0.98423423423423395</v>
      </c>
      <c r="L14" s="6">
        <v>0.80341880341880301</v>
      </c>
      <c r="M14">
        <v>250</v>
      </c>
    </row>
    <row r="15" spans="1:13" x14ac:dyDescent="0.25">
      <c r="A15">
        <v>13</v>
      </c>
      <c r="B15">
        <v>4</v>
      </c>
      <c r="C15" t="s">
        <v>21</v>
      </c>
      <c r="D15" s="1">
        <v>2</v>
      </c>
      <c r="E15" s="6">
        <v>0.99623115577889398</v>
      </c>
      <c r="F15" s="6">
        <v>0.82680412371134004</v>
      </c>
      <c r="G15" s="6">
        <v>0.99622605477803805</v>
      </c>
      <c r="H15" s="6">
        <v>0.82105809103493099</v>
      </c>
      <c r="I15" s="6">
        <v>0.99625898873409702</v>
      </c>
      <c r="J15" s="6">
        <v>0.84472705937930903</v>
      </c>
      <c r="K15" s="6">
        <v>0.99623115577889398</v>
      </c>
      <c r="L15" s="6">
        <v>0.82680412371134004</v>
      </c>
      <c r="M15">
        <v>312.5</v>
      </c>
    </row>
    <row r="16" spans="1:13" x14ac:dyDescent="0.25">
      <c r="A16">
        <v>14</v>
      </c>
      <c r="B16">
        <v>18</v>
      </c>
      <c r="C16" t="s">
        <v>21</v>
      </c>
      <c r="D16" s="1">
        <v>9</v>
      </c>
      <c r="E16" s="6">
        <v>0.99053313403089105</v>
      </c>
      <c r="F16" s="6">
        <v>0.83892617449664397</v>
      </c>
      <c r="G16" s="6">
        <v>0.99052572263008598</v>
      </c>
      <c r="H16" s="6">
        <v>0.83779205450868499</v>
      </c>
      <c r="I16" s="6">
        <v>0.99080861775167095</v>
      </c>
      <c r="J16" s="6">
        <v>0.84484318828451299</v>
      </c>
      <c r="K16" s="6">
        <v>0.99053313403089105</v>
      </c>
      <c r="L16" s="6">
        <v>0.83892617449664397</v>
      </c>
      <c r="M16">
        <v>93.75</v>
      </c>
    </row>
    <row r="17" spans="1:13" x14ac:dyDescent="0.25">
      <c r="A17">
        <v>15</v>
      </c>
      <c r="B17">
        <v>12</v>
      </c>
      <c r="C17" t="s">
        <v>21</v>
      </c>
      <c r="D17" s="1">
        <v>6</v>
      </c>
      <c r="E17" s="6">
        <v>0.998001498875843</v>
      </c>
      <c r="F17" s="6">
        <v>0.83913043478260796</v>
      </c>
      <c r="G17" s="6">
        <v>0.99800268062489395</v>
      </c>
      <c r="H17" s="6">
        <v>0.83581237151876897</v>
      </c>
      <c r="I17" s="6">
        <v>0.99801422561001596</v>
      </c>
      <c r="J17" s="6">
        <v>0.841077519859881</v>
      </c>
      <c r="K17" s="6">
        <v>0.998001498875843</v>
      </c>
      <c r="L17" s="6">
        <v>0.83913043478260796</v>
      </c>
      <c r="M17">
        <v>93.75</v>
      </c>
    </row>
    <row r="18" spans="1:13" x14ac:dyDescent="0.25">
      <c r="A18">
        <v>16</v>
      </c>
      <c r="B18">
        <v>10</v>
      </c>
      <c r="C18" t="s">
        <v>21</v>
      </c>
      <c r="D18" s="1">
        <v>5</v>
      </c>
      <c r="E18" s="6">
        <v>0.99061151991880203</v>
      </c>
      <c r="F18" s="6">
        <v>0.84877126654064206</v>
      </c>
      <c r="G18" s="6">
        <v>0.99062732193829395</v>
      </c>
      <c r="H18" s="6">
        <v>0.85270054227874703</v>
      </c>
      <c r="I18" s="6">
        <v>0.99078116718574205</v>
      </c>
      <c r="J18" s="6">
        <v>0.87060822814838901</v>
      </c>
      <c r="K18" s="6">
        <v>0.99061151991880203</v>
      </c>
      <c r="L18" s="6">
        <v>0.84877126654064206</v>
      </c>
      <c r="M18">
        <v>234375</v>
      </c>
    </row>
    <row r="19" spans="1:13" x14ac:dyDescent="0.25">
      <c r="A19">
        <v>17</v>
      </c>
      <c r="B19">
        <v>14</v>
      </c>
      <c r="C19" t="s">
        <v>21</v>
      </c>
      <c r="D19" s="1">
        <v>7</v>
      </c>
      <c r="E19" s="6">
        <v>0.99974987493746803</v>
      </c>
      <c r="F19" s="6">
        <v>0.85806451612903201</v>
      </c>
      <c r="G19" s="6">
        <v>0.99974993932436296</v>
      </c>
      <c r="H19" s="6">
        <v>0.85932775101753001</v>
      </c>
      <c r="I19" s="6">
        <v>0.99975044083127496</v>
      </c>
      <c r="J19" s="6">
        <v>0.86432533179608995</v>
      </c>
      <c r="K19" s="6">
        <v>0.99974987493746803</v>
      </c>
      <c r="L19" s="6">
        <v>0.85806451612903201</v>
      </c>
      <c r="M19">
        <v>93.75</v>
      </c>
    </row>
    <row r="20" spans="1:13" x14ac:dyDescent="0.25">
      <c r="A20">
        <v>18</v>
      </c>
      <c r="B20">
        <v>0</v>
      </c>
      <c r="C20" t="s">
        <v>21</v>
      </c>
      <c r="D20" s="1">
        <v>1</v>
      </c>
      <c r="E20" s="6">
        <v>0.99498369701529898</v>
      </c>
      <c r="F20" s="6">
        <v>0.85983263598326298</v>
      </c>
      <c r="G20" s="6">
        <v>0.99497774367226699</v>
      </c>
      <c r="H20" s="6">
        <v>0.86024427100637002</v>
      </c>
      <c r="I20" s="6">
        <v>0.99501605250910397</v>
      </c>
      <c r="J20" s="6">
        <v>0.86387773622496</v>
      </c>
      <c r="K20" s="6">
        <v>0.99498369701529898</v>
      </c>
      <c r="L20" s="6">
        <v>0.85983263598326298</v>
      </c>
      <c r="M20">
        <v>343.75</v>
      </c>
    </row>
    <row r="21" spans="1:13" x14ac:dyDescent="0.25">
      <c r="A21">
        <v>19</v>
      </c>
      <c r="B21">
        <v>6</v>
      </c>
      <c r="C21" t="s">
        <v>21</v>
      </c>
      <c r="D21" s="1">
        <v>3</v>
      </c>
      <c r="E21" s="6">
        <v>0.99822064056939497</v>
      </c>
      <c r="F21" s="6">
        <v>0.86380597014925298</v>
      </c>
      <c r="G21" s="6">
        <v>0.99822137891029605</v>
      </c>
      <c r="H21" s="6">
        <v>0.86626099201164197</v>
      </c>
      <c r="I21" s="6">
        <v>0.99823267664423398</v>
      </c>
      <c r="J21" s="6">
        <v>0.88028737342531205</v>
      </c>
      <c r="K21" s="6">
        <v>0.99822064056939497</v>
      </c>
      <c r="L21" s="6">
        <v>0.86380597014925298</v>
      </c>
      <c r="M21">
        <v>203125</v>
      </c>
    </row>
    <row r="22" spans="1:13" x14ac:dyDescent="0.25">
      <c r="A22">
        <v>0</v>
      </c>
      <c r="B22">
        <v>9</v>
      </c>
      <c r="C22" t="s">
        <v>22</v>
      </c>
      <c r="D22" s="1">
        <v>4</v>
      </c>
      <c r="E22" s="6">
        <v>0.99978511260099701</v>
      </c>
      <c r="F22" s="6">
        <v>0.83249860879243098</v>
      </c>
      <c r="G22" s="6">
        <v>0.99978508275156897</v>
      </c>
      <c r="H22" s="6">
        <v>0.83263946984106996</v>
      </c>
      <c r="I22" s="6">
        <v>0.99978520459606901</v>
      </c>
      <c r="J22" s="6">
        <v>0.83972114913915397</v>
      </c>
      <c r="K22" s="6">
        <v>0.99978511260099701</v>
      </c>
      <c r="L22" s="6">
        <v>0.83249860879243098</v>
      </c>
      <c r="M22">
        <v>2390625</v>
      </c>
    </row>
    <row r="23" spans="1:13" x14ac:dyDescent="0.25">
      <c r="A23">
        <v>1</v>
      </c>
      <c r="B23">
        <v>17</v>
      </c>
      <c r="C23" t="s">
        <v>22</v>
      </c>
      <c r="D23" s="1">
        <v>8</v>
      </c>
      <c r="E23" s="6">
        <v>1</v>
      </c>
      <c r="F23" s="6">
        <v>0.83484504913076296</v>
      </c>
      <c r="G23" s="6">
        <v>1</v>
      </c>
      <c r="H23" s="6">
        <v>0.83486014157419397</v>
      </c>
      <c r="I23" s="6">
        <v>1</v>
      </c>
      <c r="J23" s="6">
        <v>0.844911172386828</v>
      </c>
      <c r="K23" s="6">
        <v>1</v>
      </c>
      <c r="L23" s="6">
        <v>0.83484504913076296</v>
      </c>
      <c r="M23">
        <v>1859375</v>
      </c>
    </row>
    <row r="24" spans="1:13" x14ac:dyDescent="0.25">
      <c r="A24">
        <v>2</v>
      </c>
      <c r="B24">
        <v>11</v>
      </c>
      <c r="C24" t="s">
        <v>22</v>
      </c>
      <c r="D24" s="1">
        <v>5</v>
      </c>
      <c r="E24" s="6">
        <v>0.999450224139389</v>
      </c>
      <c r="F24" s="6">
        <v>0.838059231253938</v>
      </c>
      <c r="G24" s="6">
        <v>0.99945028929303203</v>
      </c>
      <c r="H24" s="6">
        <v>0.839592999010912</v>
      </c>
      <c r="I24" s="6">
        <v>0.99945094864501804</v>
      </c>
      <c r="J24" s="6">
        <v>0.85663973757470502</v>
      </c>
      <c r="K24" s="6">
        <v>0.999450224139389</v>
      </c>
      <c r="L24" s="6">
        <v>0.838059231253938</v>
      </c>
      <c r="M24">
        <v>2140625</v>
      </c>
    </row>
    <row r="25" spans="1:13" x14ac:dyDescent="0.25">
      <c r="A25">
        <v>3</v>
      </c>
      <c r="B25">
        <v>3</v>
      </c>
      <c r="C25" t="s">
        <v>22</v>
      </c>
      <c r="D25" s="1">
        <v>10</v>
      </c>
      <c r="E25" s="6">
        <v>0.99966633299966601</v>
      </c>
      <c r="F25" s="6">
        <v>0.841880341880341</v>
      </c>
      <c r="G25" s="6">
        <v>0.999666333386659</v>
      </c>
      <c r="H25" s="6">
        <v>0.83797689692946498</v>
      </c>
      <c r="I25" s="6">
        <v>0.99966657538334902</v>
      </c>
      <c r="J25" s="6">
        <v>0.84803619560176602</v>
      </c>
      <c r="K25" s="6">
        <v>0.99966633299966601</v>
      </c>
      <c r="L25" s="6">
        <v>0.841880341880341</v>
      </c>
      <c r="M25">
        <v>2000</v>
      </c>
    </row>
    <row r="26" spans="1:13" x14ac:dyDescent="0.25">
      <c r="A26">
        <v>4</v>
      </c>
      <c r="B26">
        <v>1</v>
      </c>
      <c r="C26" t="s">
        <v>22</v>
      </c>
      <c r="D26" s="1">
        <v>1</v>
      </c>
      <c r="E26" s="6">
        <v>1</v>
      </c>
      <c r="F26" s="6">
        <v>0.86750348675034805</v>
      </c>
      <c r="G26" s="6">
        <v>1</v>
      </c>
      <c r="H26" s="6">
        <v>0.867713679523889</v>
      </c>
      <c r="I26" s="6">
        <v>1</v>
      </c>
      <c r="J26" s="6">
        <v>0.87222535497689102</v>
      </c>
      <c r="K26" s="6">
        <v>1</v>
      </c>
      <c r="L26" s="6">
        <v>0.86750348675034805</v>
      </c>
      <c r="M26">
        <v>1750</v>
      </c>
    </row>
    <row r="27" spans="1:13" x14ac:dyDescent="0.25">
      <c r="A27">
        <v>5</v>
      </c>
      <c r="B27">
        <v>13</v>
      </c>
      <c r="C27" t="s">
        <v>22</v>
      </c>
      <c r="D27" s="1">
        <v>6</v>
      </c>
      <c r="E27" s="6">
        <v>0.99983346517340399</v>
      </c>
      <c r="F27" s="6">
        <v>0.86847826086956503</v>
      </c>
      <c r="G27" s="6">
        <v>0.99983346522727801</v>
      </c>
      <c r="H27" s="6">
        <v>0.86853734490810997</v>
      </c>
      <c r="I27" s="6">
        <v>0.99983350010065097</v>
      </c>
      <c r="J27" s="6">
        <v>0.87100290042772099</v>
      </c>
      <c r="K27" s="6">
        <v>0.99983346517340399</v>
      </c>
      <c r="L27" s="6">
        <v>0.86847826086956503</v>
      </c>
      <c r="M27">
        <v>2062.5</v>
      </c>
    </row>
    <row r="28" spans="1:13" x14ac:dyDescent="0.25">
      <c r="A28">
        <v>6</v>
      </c>
      <c r="B28">
        <v>15</v>
      </c>
      <c r="C28" t="s">
        <v>22</v>
      </c>
      <c r="D28" s="1">
        <v>7</v>
      </c>
      <c r="E28" s="6">
        <v>0.99983327775925301</v>
      </c>
      <c r="F28" s="6">
        <v>0.87885304659498198</v>
      </c>
      <c r="G28" s="6">
        <v>0.99983329091572704</v>
      </c>
      <c r="H28" s="6">
        <v>0.87883319319041298</v>
      </c>
      <c r="I28" s="6">
        <v>0.99983338898701901</v>
      </c>
      <c r="J28" s="6">
        <v>0.880783263648246</v>
      </c>
      <c r="K28" s="6">
        <v>0.99983327775925301</v>
      </c>
      <c r="L28" s="6">
        <v>0.87885304659498198</v>
      </c>
      <c r="M28">
        <v>1703125</v>
      </c>
    </row>
    <row r="29" spans="1:13" x14ac:dyDescent="0.25">
      <c r="A29">
        <v>7</v>
      </c>
      <c r="B29">
        <v>7</v>
      </c>
      <c r="C29" t="s">
        <v>22</v>
      </c>
      <c r="D29" s="1">
        <v>3</v>
      </c>
      <c r="E29" s="6">
        <v>1</v>
      </c>
      <c r="F29" s="6">
        <v>0.88215174129353202</v>
      </c>
      <c r="G29" s="6">
        <v>1</v>
      </c>
      <c r="H29" s="6">
        <v>0.88287198640113096</v>
      </c>
      <c r="I29" s="6">
        <v>1</v>
      </c>
      <c r="J29" s="6">
        <v>0.88634226288335904</v>
      </c>
      <c r="K29" s="6">
        <v>1</v>
      </c>
      <c r="L29" s="6">
        <v>0.88215174129353202</v>
      </c>
      <c r="M29">
        <v>2125</v>
      </c>
    </row>
    <row r="30" spans="1:13" x14ac:dyDescent="0.25">
      <c r="A30">
        <v>8</v>
      </c>
      <c r="B30">
        <v>5</v>
      </c>
      <c r="C30" t="s">
        <v>22</v>
      </c>
      <c r="D30" s="1">
        <v>2</v>
      </c>
      <c r="E30" s="6">
        <v>0.99991626193267402</v>
      </c>
      <c r="F30" s="6">
        <v>0.88281786941580698</v>
      </c>
      <c r="G30" s="6">
        <v>0.99991627587815002</v>
      </c>
      <c r="H30" s="6">
        <v>0.88192360720927498</v>
      </c>
      <c r="I30" s="6">
        <v>0.99991634198818802</v>
      </c>
      <c r="J30" s="6">
        <v>0.88466646314149</v>
      </c>
      <c r="K30" s="6">
        <v>0.99991626193267402</v>
      </c>
      <c r="L30" s="6">
        <v>0.88281786941580698</v>
      </c>
      <c r="M30">
        <v>2203125</v>
      </c>
    </row>
    <row r="31" spans="1:13" x14ac:dyDescent="0.25">
      <c r="A31">
        <v>9</v>
      </c>
      <c r="B31">
        <v>19</v>
      </c>
      <c r="C31" t="s">
        <v>22</v>
      </c>
      <c r="D31" s="1">
        <v>9</v>
      </c>
      <c r="E31" s="6">
        <v>0.99941882186890196</v>
      </c>
      <c r="F31" s="6">
        <v>0.90156599552572703</v>
      </c>
      <c r="G31" s="6">
        <v>0.99941883435043499</v>
      </c>
      <c r="H31" s="6">
        <v>0.90087213987403203</v>
      </c>
      <c r="I31" s="6">
        <v>0.99941982823729203</v>
      </c>
      <c r="J31" s="6">
        <v>0.901645432757189</v>
      </c>
      <c r="K31" s="6">
        <v>0.99941882186890196</v>
      </c>
      <c r="L31" s="6">
        <v>0.90156599552572703</v>
      </c>
      <c r="M31">
        <v>1515625</v>
      </c>
    </row>
    <row r="32" spans="1:13" x14ac:dyDescent="0.25">
      <c r="A32">
        <v>10</v>
      </c>
      <c r="B32">
        <v>16</v>
      </c>
      <c r="C32" t="s">
        <v>23</v>
      </c>
      <c r="D32" s="1">
        <v>8</v>
      </c>
      <c r="E32" s="2">
        <v>0.99987562704697097</v>
      </c>
      <c r="F32" s="2">
        <v>0.77815570672713497</v>
      </c>
      <c r="G32" s="2">
        <v>0.99987562118467099</v>
      </c>
      <c r="H32" s="2">
        <v>0.78046653123938703</v>
      </c>
      <c r="I32" s="2">
        <v>0.999875680383425</v>
      </c>
      <c r="J32" s="2">
        <v>0.81400863059335704</v>
      </c>
      <c r="K32" s="2">
        <v>0.99987562704697097</v>
      </c>
      <c r="L32" s="2">
        <v>0.77815570672713497</v>
      </c>
      <c r="M32">
        <v>1562.5</v>
      </c>
    </row>
    <row r="33" spans="1:13" x14ac:dyDescent="0.25">
      <c r="A33">
        <v>11</v>
      </c>
      <c r="B33">
        <v>8</v>
      </c>
      <c r="C33" t="s">
        <v>23</v>
      </c>
      <c r="D33" s="1">
        <v>4</v>
      </c>
      <c r="E33" s="2">
        <v>0.99987106756059796</v>
      </c>
      <c r="F33" s="2">
        <v>0.80467445742904797</v>
      </c>
      <c r="G33" s="2">
        <v>0.99987106610431897</v>
      </c>
      <c r="H33" s="2">
        <v>0.80843746260292804</v>
      </c>
      <c r="I33" s="2">
        <v>0.99987114132254595</v>
      </c>
      <c r="J33" s="2">
        <v>0.81966958877987794</v>
      </c>
      <c r="K33" s="2">
        <v>0.99987106756059796</v>
      </c>
      <c r="L33" s="2">
        <v>0.80467445742904797</v>
      </c>
      <c r="M33">
        <v>1140625</v>
      </c>
    </row>
    <row r="34" spans="1:13" x14ac:dyDescent="0.25">
      <c r="A34">
        <v>12</v>
      </c>
      <c r="B34">
        <v>2</v>
      </c>
      <c r="C34" t="s">
        <v>23</v>
      </c>
      <c r="D34" s="1">
        <v>10</v>
      </c>
      <c r="E34" s="2">
        <v>0.99987487487487403</v>
      </c>
      <c r="F34" s="2">
        <v>0.82264957264957195</v>
      </c>
      <c r="G34" s="2">
        <v>0.99987489007334296</v>
      </c>
      <c r="H34" s="2">
        <v>0.81666079368828703</v>
      </c>
      <c r="I34" s="2">
        <v>0.99987495279804095</v>
      </c>
      <c r="J34" s="2">
        <v>0.83194074824101005</v>
      </c>
      <c r="K34" s="2">
        <v>0.99987487487487403</v>
      </c>
      <c r="L34" s="2">
        <v>0.82264957264957195</v>
      </c>
      <c r="M34">
        <v>1171875</v>
      </c>
    </row>
    <row r="35" spans="1:13" x14ac:dyDescent="0.25">
      <c r="A35">
        <v>13</v>
      </c>
      <c r="B35">
        <v>14</v>
      </c>
      <c r="C35" t="s">
        <v>23</v>
      </c>
      <c r="D35" s="1">
        <v>7</v>
      </c>
      <c r="E35" s="2">
        <v>0.99991663887962601</v>
      </c>
      <c r="F35" s="2">
        <v>0.84587813620071595</v>
      </c>
      <c r="G35" s="2">
        <v>0.99991665203962898</v>
      </c>
      <c r="H35" s="2">
        <v>0.84725102687185805</v>
      </c>
      <c r="I35" s="2">
        <v>0.99991671581651598</v>
      </c>
      <c r="J35" s="2">
        <v>0.85123648339066305</v>
      </c>
      <c r="K35" s="2">
        <v>0.99991663887962601</v>
      </c>
      <c r="L35" s="2">
        <v>0.84587813620071595</v>
      </c>
      <c r="M35">
        <v>703125</v>
      </c>
    </row>
    <row r="36" spans="1:13" x14ac:dyDescent="0.25">
      <c r="A36">
        <v>14</v>
      </c>
      <c r="B36">
        <v>6</v>
      </c>
      <c r="C36" t="s">
        <v>23</v>
      </c>
      <c r="D36" s="1">
        <v>3</v>
      </c>
      <c r="E36" s="2">
        <v>0.99978820738732599</v>
      </c>
      <c r="F36" s="2">
        <v>0.86225124378109397</v>
      </c>
      <c r="G36" s="2">
        <v>0.99978823731050304</v>
      </c>
      <c r="H36" s="2">
        <v>0.86300792271358695</v>
      </c>
      <c r="I36" s="2">
        <v>0.99978832253567695</v>
      </c>
      <c r="J36" s="2">
        <v>0.869292380281808</v>
      </c>
      <c r="K36" s="2">
        <v>0.99978820738732599</v>
      </c>
      <c r="L36" s="2">
        <v>0.86225124378109397</v>
      </c>
      <c r="M36">
        <v>1109375</v>
      </c>
    </row>
    <row r="37" spans="1:13" x14ac:dyDescent="0.25">
      <c r="A37">
        <v>15</v>
      </c>
      <c r="B37">
        <v>10</v>
      </c>
      <c r="C37" t="s">
        <v>23</v>
      </c>
      <c r="D37" s="1">
        <v>5</v>
      </c>
      <c r="E37" s="2">
        <v>0.99974625729510203</v>
      </c>
      <c r="F37" s="2">
        <v>0.87523629489603005</v>
      </c>
      <c r="G37" s="2">
        <v>0.99974632127298202</v>
      </c>
      <c r="H37" s="2">
        <v>0.87585107533691398</v>
      </c>
      <c r="I37" s="2">
        <v>0.99974654379023398</v>
      </c>
      <c r="J37" s="2">
        <v>0.88410550405423005</v>
      </c>
      <c r="K37" s="2">
        <v>0.99974625729510203</v>
      </c>
      <c r="L37" s="2">
        <v>0.87523629489603005</v>
      </c>
      <c r="M37">
        <v>765625</v>
      </c>
    </row>
    <row r="38" spans="1:13" x14ac:dyDescent="0.25">
      <c r="A38">
        <v>16</v>
      </c>
      <c r="B38">
        <v>12</v>
      </c>
      <c r="C38" t="s">
        <v>23</v>
      </c>
      <c r="D38" s="1">
        <v>6</v>
      </c>
      <c r="E38" s="2">
        <v>0.99983346517340399</v>
      </c>
      <c r="F38" s="2">
        <v>0.87789855072463696</v>
      </c>
      <c r="G38" s="2">
        <v>0.99983346725549105</v>
      </c>
      <c r="H38" s="2">
        <v>0.878103887320135</v>
      </c>
      <c r="I38" s="2">
        <v>0.99983355058865198</v>
      </c>
      <c r="J38" s="2">
        <v>0.87998870684048902</v>
      </c>
      <c r="K38" s="2">
        <v>0.99983346517340399</v>
      </c>
      <c r="L38" s="2">
        <v>0.87789855072463696</v>
      </c>
      <c r="M38">
        <v>781.25</v>
      </c>
    </row>
    <row r="39" spans="1:13" x14ac:dyDescent="0.25">
      <c r="A39">
        <v>17</v>
      </c>
      <c r="B39">
        <v>0</v>
      </c>
      <c r="C39" t="s">
        <v>23</v>
      </c>
      <c r="D39" s="1">
        <v>1</v>
      </c>
      <c r="E39" s="2">
        <v>0.99991639495025497</v>
      </c>
      <c r="F39" s="2">
        <v>0.88075313807531297</v>
      </c>
      <c r="G39" s="2">
        <v>0.99991639652710695</v>
      </c>
      <c r="H39" s="2">
        <v>0.88141507873594604</v>
      </c>
      <c r="I39" s="2">
        <v>0.999916419040488</v>
      </c>
      <c r="J39" s="2">
        <v>0.88367410211559705</v>
      </c>
      <c r="K39" s="2">
        <v>0.99991639495025497</v>
      </c>
      <c r="L39" s="2">
        <v>0.88075313807531297</v>
      </c>
      <c r="M39">
        <v>718.75</v>
      </c>
    </row>
    <row r="40" spans="1:13" x14ac:dyDescent="0.25">
      <c r="A40">
        <v>18</v>
      </c>
      <c r="B40">
        <v>4</v>
      </c>
      <c r="C40" t="s">
        <v>23</v>
      </c>
      <c r="D40" s="1">
        <v>2</v>
      </c>
      <c r="E40" s="2">
        <v>0.99983252386534904</v>
      </c>
      <c r="F40" s="2">
        <v>0.88865979381443205</v>
      </c>
      <c r="G40" s="2">
        <v>0.99983253777022896</v>
      </c>
      <c r="H40" s="2">
        <v>0.88788615098095502</v>
      </c>
      <c r="I40" s="2">
        <v>0.99983263821865798</v>
      </c>
      <c r="J40" s="2">
        <v>0.89557822554877897</v>
      </c>
      <c r="K40" s="2">
        <v>0.99983252386534904</v>
      </c>
      <c r="L40" s="2">
        <v>0.88865979381443205</v>
      </c>
      <c r="M40">
        <v>750</v>
      </c>
    </row>
    <row r="41" spans="1:13" x14ac:dyDescent="0.25">
      <c r="A41">
        <v>19</v>
      </c>
      <c r="B41">
        <v>18</v>
      </c>
      <c r="C41" t="s">
        <v>23</v>
      </c>
      <c r="D41" s="1">
        <v>9</v>
      </c>
      <c r="E41" s="2">
        <v>0.99983394910540002</v>
      </c>
      <c r="F41" s="2">
        <v>0.89038031319910504</v>
      </c>
      <c r="G41" s="2">
        <v>0.99983395321801405</v>
      </c>
      <c r="H41" s="2">
        <v>0.88969858240875099</v>
      </c>
      <c r="I41" s="2">
        <v>0.99983404409610699</v>
      </c>
      <c r="J41" s="2">
        <v>0.89200625580749204</v>
      </c>
      <c r="K41" s="2">
        <v>0.99983394910540002</v>
      </c>
      <c r="L41" s="2">
        <v>0.89038031319910504</v>
      </c>
      <c r="M41">
        <v>765625</v>
      </c>
    </row>
    <row r="42" spans="1:13" x14ac:dyDescent="0.25">
      <c r="A42">
        <v>0</v>
      </c>
      <c r="B42">
        <v>9</v>
      </c>
      <c r="C42" t="s">
        <v>24</v>
      </c>
      <c r="D42" s="1">
        <v>4</v>
      </c>
      <c r="E42" s="2">
        <v>0.99996316216017</v>
      </c>
      <c r="F42" s="2">
        <v>0.70283806343906496</v>
      </c>
      <c r="G42" s="2">
        <v>0.99996316218578096</v>
      </c>
      <c r="H42" s="2">
        <v>0.70390495181556101</v>
      </c>
      <c r="I42" s="2">
        <v>0.99996316875956903</v>
      </c>
      <c r="J42" s="2">
        <v>0.74408455697902698</v>
      </c>
      <c r="K42" s="2">
        <v>0.99996316216017</v>
      </c>
      <c r="L42" s="2">
        <v>0.70283806343906496</v>
      </c>
      <c r="M42">
        <v>1062.5</v>
      </c>
    </row>
    <row r="43" spans="1:13" x14ac:dyDescent="0.25">
      <c r="A43">
        <v>1</v>
      </c>
      <c r="B43">
        <v>17</v>
      </c>
      <c r="C43" t="s">
        <v>24</v>
      </c>
      <c r="D43" s="1">
        <v>8</v>
      </c>
      <c r="E43" s="2">
        <v>0.999822329614099</v>
      </c>
      <c r="F43" s="2">
        <v>0.71396177518626502</v>
      </c>
      <c r="G43" s="2">
        <v>0.999822337930386</v>
      </c>
      <c r="H43" s="2">
        <v>0.70456084738719804</v>
      </c>
      <c r="I43" s="2">
        <v>0.99982242496425699</v>
      </c>
      <c r="J43" s="2">
        <v>0.724948959499915</v>
      </c>
      <c r="K43" s="2">
        <v>0.999822329614099</v>
      </c>
      <c r="L43" s="2">
        <v>0.71396177518626502</v>
      </c>
      <c r="M43">
        <v>531.25</v>
      </c>
    </row>
    <row r="44" spans="1:13" x14ac:dyDescent="0.25">
      <c r="A44">
        <v>2</v>
      </c>
      <c r="B44">
        <v>3</v>
      </c>
      <c r="C44" t="s">
        <v>24</v>
      </c>
      <c r="D44" s="1">
        <v>10</v>
      </c>
      <c r="E44" s="2">
        <v>1</v>
      </c>
      <c r="F44" s="2">
        <v>0.72893772893772801</v>
      </c>
      <c r="G44" s="2">
        <v>1</v>
      </c>
      <c r="H44" s="2">
        <v>0.72341687288886303</v>
      </c>
      <c r="I44" s="2">
        <v>1</v>
      </c>
      <c r="J44" s="2">
        <v>0.74249871712682403</v>
      </c>
      <c r="K44" s="2">
        <v>1</v>
      </c>
      <c r="L44" s="2">
        <v>0.72893772893772801</v>
      </c>
      <c r="M44">
        <v>531.25</v>
      </c>
    </row>
    <row r="45" spans="1:13" x14ac:dyDescent="0.25">
      <c r="A45">
        <v>3</v>
      </c>
      <c r="B45">
        <v>1</v>
      </c>
      <c r="C45" t="s">
        <v>24</v>
      </c>
      <c r="D45" s="1">
        <v>1</v>
      </c>
      <c r="E45" s="2">
        <v>0.99953420043713403</v>
      </c>
      <c r="F45" s="2">
        <v>0.75732217573221705</v>
      </c>
      <c r="G45" s="2">
        <v>0.99953416401796003</v>
      </c>
      <c r="H45" s="2">
        <v>0.75284810829147097</v>
      </c>
      <c r="I45" s="2">
        <v>0.999534396377731</v>
      </c>
      <c r="J45" s="2">
        <v>0.77656473756735001</v>
      </c>
      <c r="K45" s="2">
        <v>0.99953420043713403</v>
      </c>
      <c r="L45" s="2">
        <v>0.75732217573221705</v>
      </c>
      <c r="M45">
        <v>703125</v>
      </c>
    </row>
    <row r="46" spans="1:13" x14ac:dyDescent="0.25">
      <c r="A46">
        <v>4</v>
      </c>
      <c r="B46">
        <v>15</v>
      </c>
      <c r="C46" t="s">
        <v>24</v>
      </c>
      <c r="D46" s="1">
        <v>7</v>
      </c>
      <c r="E46" s="2">
        <v>1</v>
      </c>
      <c r="F46" s="2">
        <v>0.77480798771121295</v>
      </c>
      <c r="G46" s="2">
        <v>1</v>
      </c>
      <c r="H46" s="2">
        <v>0.775095426364655</v>
      </c>
      <c r="I46" s="2">
        <v>1</v>
      </c>
      <c r="J46" s="2">
        <v>0.78332890344444805</v>
      </c>
      <c r="K46" s="2">
        <v>1</v>
      </c>
      <c r="L46" s="2">
        <v>0.77480798771121295</v>
      </c>
      <c r="M46">
        <v>421875</v>
      </c>
    </row>
    <row r="47" spans="1:13" x14ac:dyDescent="0.25">
      <c r="A47">
        <v>5</v>
      </c>
      <c r="B47">
        <v>11</v>
      </c>
      <c r="C47" t="s">
        <v>24</v>
      </c>
      <c r="D47" s="1">
        <v>5</v>
      </c>
      <c r="E47" s="2">
        <v>0.99905752709609597</v>
      </c>
      <c r="F47" s="2">
        <v>0.78341884958142005</v>
      </c>
      <c r="G47" s="2">
        <v>0.99905793781990104</v>
      </c>
      <c r="H47" s="2">
        <v>0.78742938649930805</v>
      </c>
      <c r="I47" s="2">
        <v>0.99905953362514899</v>
      </c>
      <c r="J47" s="2">
        <v>0.81045322154282096</v>
      </c>
      <c r="K47" s="2">
        <v>0.99905752709609597</v>
      </c>
      <c r="L47" s="2">
        <v>0.78341884958142005</v>
      </c>
      <c r="M47">
        <v>703125</v>
      </c>
    </row>
    <row r="48" spans="1:13" x14ac:dyDescent="0.25">
      <c r="A48">
        <v>6</v>
      </c>
      <c r="B48">
        <v>5</v>
      </c>
      <c r="C48" t="s">
        <v>24</v>
      </c>
      <c r="D48" s="1">
        <v>2</v>
      </c>
      <c r="E48" s="2">
        <v>1</v>
      </c>
      <c r="F48" s="2">
        <v>0.79116347569955803</v>
      </c>
      <c r="G48" s="2">
        <v>1</v>
      </c>
      <c r="H48" s="2">
        <v>0.79118015892564497</v>
      </c>
      <c r="I48" s="2">
        <v>1</v>
      </c>
      <c r="J48" s="2">
        <v>0.79842901070835004</v>
      </c>
      <c r="K48" s="2">
        <v>1</v>
      </c>
      <c r="L48" s="2">
        <v>0.79116347569955803</v>
      </c>
      <c r="M48">
        <v>781.25</v>
      </c>
    </row>
    <row r="49" spans="1:13" x14ac:dyDescent="0.25">
      <c r="A49">
        <v>7</v>
      </c>
      <c r="B49">
        <v>13</v>
      </c>
      <c r="C49" t="s">
        <v>24</v>
      </c>
      <c r="D49" s="1">
        <v>6</v>
      </c>
      <c r="E49" s="2">
        <v>0.99932196131610795</v>
      </c>
      <c r="F49" s="2">
        <v>0.79720496894409898</v>
      </c>
      <c r="G49" s="2">
        <v>0.99932208954483004</v>
      </c>
      <c r="H49" s="2">
        <v>0.797941283763691</v>
      </c>
      <c r="I49" s="2">
        <v>0.99932288816769299</v>
      </c>
      <c r="J49" s="2">
        <v>0.8017366857114</v>
      </c>
      <c r="K49" s="2">
        <v>0.99932196131610795</v>
      </c>
      <c r="L49" s="2">
        <v>0.79720496894409898</v>
      </c>
      <c r="M49">
        <v>609375</v>
      </c>
    </row>
    <row r="50" spans="1:13" x14ac:dyDescent="0.25">
      <c r="A50">
        <v>8</v>
      </c>
      <c r="B50">
        <v>7</v>
      </c>
      <c r="C50" t="s">
        <v>24</v>
      </c>
      <c r="D50" s="1">
        <v>3</v>
      </c>
      <c r="E50" s="2">
        <v>0.99989107940311495</v>
      </c>
      <c r="F50" s="2">
        <v>0.81743070362473302</v>
      </c>
      <c r="G50" s="2">
        <v>0.99989107620088602</v>
      </c>
      <c r="H50" s="2">
        <v>0.81661665381186999</v>
      </c>
      <c r="I50" s="2">
        <v>0.99989107940085598</v>
      </c>
      <c r="J50" s="2">
        <v>0.83441536606752098</v>
      </c>
      <c r="K50" s="2">
        <v>0.99989107940311495</v>
      </c>
      <c r="L50" s="2">
        <v>0.81743070362473302</v>
      </c>
      <c r="M50">
        <v>578125</v>
      </c>
    </row>
    <row r="51" spans="1:13" x14ac:dyDescent="0.25">
      <c r="A51">
        <v>9</v>
      </c>
      <c r="B51">
        <v>19</v>
      </c>
      <c r="C51" t="s">
        <v>24</v>
      </c>
      <c r="D51" s="1">
        <v>9</v>
      </c>
      <c r="E51" s="2">
        <v>0.99971534301167098</v>
      </c>
      <c r="F51" s="2">
        <v>0.83093640140619995</v>
      </c>
      <c r="G51" s="2">
        <v>0.99971539024939804</v>
      </c>
      <c r="H51" s="2">
        <v>0.83048992531102195</v>
      </c>
      <c r="I51" s="2">
        <v>0.99971576388598304</v>
      </c>
      <c r="J51" s="2">
        <v>0.83252619437893605</v>
      </c>
      <c r="K51" s="2">
        <v>0.99971534301167098</v>
      </c>
      <c r="L51" s="2">
        <v>0.83093640140619995</v>
      </c>
      <c r="M51">
        <v>390625</v>
      </c>
    </row>
    <row r="52" spans="1:13" x14ac:dyDescent="0.25">
      <c r="A52">
        <v>10</v>
      </c>
      <c r="B52">
        <v>2</v>
      </c>
      <c r="C52" t="s">
        <v>25</v>
      </c>
      <c r="D52" s="1">
        <v>10</v>
      </c>
      <c r="E52" s="2">
        <v>0.98523523523523504</v>
      </c>
      <c r="F52" s="2">
        <v>0.75793650793650702</v>
      </c>
      <c r="G52" s="2">
        <v>0.98525188275817199</v>
      </c>
      <c r="H52" s="2">
        <v>0.75567362766402502</v>
      </c>
      <c r="I52" s="2">
        <v>0.98556131547833503</v>
      </c>
      <c r="J52" s="2">
        <v>0.78313630725697403</v>
      </c>
      <c r="K52" s="2">
        <v>0.98523523523523504</v>
      </c>
      <c r="L52" s="2">
        <v>0.75793650793650702</v>
      </c>
      <c r="M52">
        <v>390625</v>
      </c>
    </row>
    <row r="53" spans="1:13" x14ac:dyDescent="0.25">
      <c r="A53">
        <v>11</v>
      </c>
      <c r="B53">
        <v>8</v>
      </c>
      <c r="C53" t="s">
        <v>25</v>
      </c>
      <c r="D53" s="1">
        <v>4</v>
      </c>
      <c r="E53" s="2">
        <v>0.98434391807264399</v>
      </c>
      <c r="F53" s="2">
        <v>0.77343191032673497</v>
      </c>
      <c r="G53" s="2">
        <v>0.98433225826553505</v>
      </c>
      <c r="H53" s="2">
        <v>0.77715937253066403</v>
      </c>
      <c r="I53" s="2">
        <v>0.98453421349263803</v>
      </c>
      <c r="J53" s="2">
        <v>0.79423108835213296</v>
      </c>
      <c r="K53" s="2">
        <v>0.98434391807264399</v>
      </c>
      <c r="L53" s="2">
        <v>0.77343191032673497</v>
      </c>
      <c r="M53">
        <v>562.5</v>
      </c>
    </row>
    <row r="54" spans="1:13" x14ac:dyDescent="0.25">
      <c r="A54">
        <v>12</v>
      </c>
      <c r="B54">
        <v>4</v>
      </c>
      <c r="C54" t="s">
        <v>25</v>
      </c>
      <c r="D54" s="1">
        <v>2</v>
      </c>
      <c r="E54" s="2">
        <v>0.98743898937697305</v>
      </c>
      <c r="F54" s="2">
        <v>0.77702503681885104</v>
      </c>
      <c r="G54" s="2">
        <v>0.98746399213575797</v>
      </c>
      <c r="H54" s="2">
        <v>0.77352288658221002</v>
      </c>
      <c r="I54" s="2">
        <v>0.98776437229284098</v>
      </c>
      <c r="J54" s="2">
        <v>0.79614065878158302</v>
      </c>
      <c r="K54" s="2">
        <v>0.98743898937697305</v>
      </c>
      <c r="L54" s="2">
        <v>0.77702503681885104</v>
      </c>
      <c r="M54">
        <v>265625</v>
      </c>
    </row>
    <row r="55" spans="1:13" x14ac:dyDescent="0.25">
      <c r="A55">
        <v>13</v>
      </c>
      <c r="B55">
        <v>16</v>
      </c>
      <c r="C55" t="s">
        <v>25</v>
      </c>
      <c r="D55" s="1">
        <v>8</v>
      </c>
      <c r="E55" s="2">
        <v>0.98230402956435203</v>
      </c>
      <c r="F55" s="2">
        <v>0.78911564625850295</v>
      </c>
      <c r="G55" s="2">
        <v>0.98233665265675496</v>
      </c>
      <c r="H55" s="2">
        <v>0.78871303633193501</v>
      </c>
      <c r="I55" s="2">
        <v>0.98314148315037198</v>
      </c>
      <c r="J55" s="2">
        <v>0.79265735157718298</v>
      </c>
      <c r="K55" s="2">
        <v>0.98230402956435203</v>
      </c>
      <c r="L55" s="2">
        <v>0.78911564625850295</v>
      </c>
      <c r="M55">
        <v>296875</v>
      </c>
    </row>
    <row r="56" spans="1:13" x14ac:dyDescent="0.25">
      <c r="A56">
        <v>14</v>
      </c>
      <c r="B56">
        <v>14</v>
      </c>
      <c r="C56" t="s">
        <v>25</v>
      </c>
      <c r="D56" s="1">
        <v>7</v>
      </c>
      <c r="E56" s="2">
        <v>0.98256520185780605</v>
      </c>
      <c r="F56" s="2">
        <v>0.79109062980030698</v>
      </c>
      <c r="G56" s="2">
        <v>0.98263788438760902</v>
      </c>
      <c r="H56" s="2">
        <v>0.79098771977173599</v>
      </c>
      <c r="I56" s="2">
        <v>0.98343372406673102</v>
      </c>
      <c r="J56" s="2">
        <v>0.80200810663434396</v>
      </c>
      <c r="K56" s="2">
        <v>0.98256520185780605</v>
      </c>
      <c r="L56" s="2">
        <v>0.79109062980030698</v>
      </c>
      <c r="M56">
        <v>562.5</v>
      </c>
    </row>
    <row r="57" spans="1:13" x14ac:dyDescent="0.25">
      <c r="A57">
        <v>15</v>
      </c>
      <c r="B57">
        <v>0</v>
      </c>
      <c r="C57" t="s">
        <v>25</v>
      </c>
      <c r="D57" s="1">
        <v>1</v>
      </c>
      <c r="E57" s="2">
        <v>0.98914328711168398</v>
      </c>
      <c r="F57" s="2">
        <v>0.80543933054393302</v>
      </c>
      <c r="G57" s="2">
        <v>0.98913091619625804</v>
      </c>
      <c r="H57" s="2">
        <v>0.80663771788785699</v>
      </c>
      <c r="I57" s="2">
        <v>0.98926205032866699</v>
      </c>
      <c r="J57" s="2">
        <v>0.81291569820629705</v>
      </c>
      <c r="K57" s="2">
        <v>0.98914328711168398</v>
      </c>
      <c r="L57" s="2">
        <v>0.80543933054393302</v>
      </c>
      <c r="M57">
        <v>296875</v>
      </c>
    </row>
    <row r="58" spans="1:13" x14ac:dyDescent="0.25">
      <c r="A58">
        <v>16</v>
      </c>
      <c r="B58">
        <v>6</v>
      </c>
      <c r="C58" t="s">
        <v>25</v>
      </c>
      <c r="D58" s="1">
        <v>3</v>
      </c>
      <c r="E58" s="2">
        <v>0.98613077732999299</v>
      </c>
      <c r="F58" s="2">
        <v>0.819029850746268</v>
      </c>
      <c r="G58" s="2">
        <v>0.98611264092157802</v>
      </c>
      <c r="H58" s="2">
        <v>0.82003002513436296</v>
      </c>
      <c r="I58" s="2">
        <v>0.98640978021848202</v>
      </c>
      <c r="J58" s="2">
        <v>0.82799000070904205</v>
      </c>
      <c r="K58" s="2">
        <v>0.98613077732999299</v>
      </c>
      <c r="L58" s="2">
        <v>0.819029850746268</v>
      </c>
      <c r="M58">
        <v>578125</v>
      </c>
    </row>
    <row r="59" spans="1:13" x14ac:dyDescent="0.25">
      <c r="A59">
        <v>17</v>
      </c>
      <c r="B59">
        <v>12</v>
      </c>
      <c r="C59" t="s">
        <v>25</v>
      </c>
      <c r="D59" s="1">
        <v>6</v>
      </c>
      <c r="E59" s="2">
        <v>0.98836628363428702</v>
      </c>
      <c r="F59" s="2">
        <v>0.82142857142857095</v>
      </c>
      <c r="G59" s="2">
        <v>0.98837433926687501</v>
      </c>
      <c r="H59" s="2">
        <v>0.821494512415197</v>
      </c>
      <c r="I59" s="2">
        <v>0.988615889820042</v>
      </c>
      <c r="J59" s="2">
        <v>0.82672657479370903</v>
      </c>
      <c r="K59" s="2">
        <v>0.98836628363428702</v>
      </c>
      <c r="L59" s="2">
        <v>0.82142857142857095</v>
      </c>
      <c r="M59">
        <v>609375</v>
      </c>
    </row>
    <row r="60" spans="1:13" x14ac:dyDescent="0.25">
      <c r="A60">
        <v>18</v>
      </c>
      <c r="B60">
        <v>10</v>
      </c>
      <c r="C60" t="s">
        <v>25</v>
      </c>
      <c r="D60" s="1">
        <v>5</v>
      </c>
      <c r="E60" s="2">
        <v>0.98481168666400798</v>
      </c>
      <c r="F60" s="2">
        <v>0.82338644342425005</v>
      </c>
      <c r="G60" s="2">
        <v>0.98483633032787898</v>
      </c>
      <c r="H60" s="2">
        <v>0.82398410997927096</v>
      </c>
      <c r="I60" s="2">
        <v>0.98506762239471402</v>
      </c>
      <c r="J60" s="2">
        <v>0.83540926996484</v>
      </c>
      <c r="K60" s="2">
        <v>0.98481168666400798</v>
      </c>
      <c r="L60" s="2">
        <v>0.82338644342425005</v>
      </c>
      <c r="M60">
        <v>187.5</v>
      </c>
    </row>
    <row r="61" spans="1:13" x14ac:dyDescent="0.25">
      <c r="A61">
        <v>19</v>
      </c>
      <c r="B61">
        <v>18</v>
      </c>
      <c r="C61" t="s">
        <v>25</v>
      </c>
      <c r="D61" s="1">
        <v>9</v>
      </c>
      <c r="E61" s="2">
        <v>0.98790207799601404</v>
      </c>
      <c r="F61" s="2">
        <v>0.84499840204538101</v>
      </c>
      <c r="G61" s="2">
        <v>0.98791401899243902</v>
      </c>
      <c r="H61" s="2">
        <v>0.84384007787766002</v>
      </c>
      <c r="I61" s="2">
        <v>0.98823268716006496</v>
      </c>
      <c r="J61" s="2">
        <v>0.84736327086278396</v>
      </c>
      <c r="K61" s="2">
        <v>0.98790207799601404</v>
      </c>
      <c r="L61" s="2">
        <v>0.84499840204538101</v>
      </c>
      <c r="M61">
        <v>187.5</v>
      </c>
    </row>
  </sheetData>
  <conditionalFormatting sqref="F2:F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2:F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2:F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2:F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7:F4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2:F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2:F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89D457-0F0E-4784-B9D7-26B9D8812F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Comparison</vt:lpstr>
      <vt:lpstr>Accuracy_per_fold</vt:lpstr>
      <vt:lpstr>raw_data</vt:lpstr>
      <vt:lpstr>tab375aug_norm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Florentino, Andre Luiz</dc:creator>
  <cp:lastModifiedBy>André Luiz Florentino</cp:lastModifiedBy>
  <dcterms:created xsi:type="dcterms:W3CDTF">2023-11-13T14:22:53Z</dcterms:created>
  <dcterms:modified xsi:type="dcterms:W3CDTF">2024-06-26T11:35:45Z</dcterms:modified>
</cp:coreProperties>
</file>